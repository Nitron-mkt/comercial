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30 distribuidoras" sheetId="2" state="visible" r:id="rId4"/>
    <sheet name="Reserva (não revisada)" sheetId="3" state="visible" r:id="rId5"/>
    <sheet name="Fora da lista" sheetId="4" state="visible" r:id="rId6"/>
  </sheets>
  <definedNames>
    <definedName function="false" hidden="true" localSheetId="1" name="_xlnm._FilterDatabase" vbProcedure="false">'30 distribuidoras'!$A$1:$Z$31</definedName>
    <definedName function="false" hidden="true" localSheetId="2" name="_xlnm._FilterDatabase" vbProcedure="false">'Reserva (não revisada)'!$A$1:$K$82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<sst xmlns="http://schemas.openxmlformats.org/spreadsheetml/2006/main" count="1212" uniqueCount="790">
  <si>
    <t xml:space="preserve">Lista B · Onda 1: 30 distribuidoras que a Nitron ainda não atende</t>
  </si>
  <si>
    <t xml:space="preserve">Fonte: dados abertos de CNPJ da Receita Federal (base out/2026), cruzados com o cadastro do Sankhya em 27/10/2026.</t>
  </si>
  <si>
    <t xml:space="preserve">Resumo</t>
  </si>
  <si>
    <t xml:space="preserve">Distribuidoras selecionadas</t>
  </si>
  <si>
    <t xml:space="preserve">  com telefone na Receita</t>
  </si>
  <si>
    <t xml:space="preserve">  já contatadas</t>
  </si>
  <si>
    <t xml:space="preserve">  pedidos fechados</t>
  </si>
  <si>
    <t xml:space="preserve">  valor dos 1ºs pedidos (R$)</t>
  </si>
  <si>
    <t xml:space="preserve">Reserva para a próxima rodada</t>
  </si>
  <si>
    <t xml:space="preserve">Como a lista foi feita</t>
  </si>
  <si>
    <t xml:space="preserve">Região</t>
  </si>
  <si>
    <t xml:space="preserve">Interior de SP sem adicional de frete CIF: Campinas, Extremo de Campinas, Sorocaba, Extremo de Sorocaba, Região Central e Vale do Paraíba (198 cidades).</t>
  </si>
  <si>
    <t xml:space="preserve">Funil</t>
  </si>
  <si>
    <t xml:space="preserve">4.941 empresas ativas de atacado nessas cidades → 1.722 com porte EPP ou maior, 3+ anos e sem ser MEI → 170 com perfil de distribuidor de utilidades → 16 já estão no cadastro Nitron → 30 escolhidas a dedo.</t>
  </si>
  <si>
    <t xml:space="preserve">Atividades (CNAE)</t>
  </si>
  <si>
    <t xml:space="preserve">Atacado de artigos de uso doméstico (4649-4/99), mercadorias em geral (4693-1/00), embalagens (4686-9/02), higiene e limpeza (4649-4/08) e ferragens (4672-9/00).</t>
  </si>
  <si>
    <t xml:space="preserve">Pontuação de aderência</t>
  </si>
  <si>
    <t xml:space="preserve">Soma pontos por atividade de utilidades domésticas, nome com utilidades/distribuidora/atacado, porte e tempo de empresa. Teste: as 3 empresas de maior pontuação da região são Modenuti, Centerlar e Millenium, as 3 maiores distribuidoras da Nitron.</t>
  </si>
  <si>
    <t xml:space="preserve">Antes de ligar</t>
  </si>
  <si>
    <t xml:space="preserve">Telefone</t>
  </si>
  <si>
    <t xml:space="preserve">É o declarado na Receita: pode estar velho ou ser do contador. Se não atender, buscar no Google Maps/site. Anotar o número certo na coluna amarela.</t>
  </si>
  <si>
    <t xml:space="preserve">Território</t>
  </si>
  <si>
    <t xml:space="preserve">Modenuti (São Carlos), Millenium (Campinas/Salto), Centerlar (Jundiaí) e Parolar (Saltinho) ficam dentro desta região. Alinhar com Sebastião e João Carlos se a prospecção pode concorrer com eles.</t>
  </si>
  <si>
    <t xml:space="preserve">Colunas amarelas</t>
  </si>
  <si>
    <t xml:space="preserve">Para o time preencher. Status tem lista suspensa. Exemplo: Status = Em conversa · Decisor = João, comprador · Compra de = Sanremo, Plasútil · Próximo passo = enviar tabela de distribuidor até 05/11.</t>
  </si>
  <si>
    <t xml:space="preserve">Roteiro da ligação fria</t>
  </si>
  <si>
    <t xml:space="preserve">1. Abertura</t>
  </si>
  <si>
    <t xml:space="preserve">"Oi, aqui é [nome] da Nitron, fabricante de potes, organizadores e utilidades. Falo com quem cuida das compras?"</t>
  </si>
  <si>
    <t xml:space="preserve">2. Qualificação</t>
  </si>
  <si>
    <t xml:space="preserve">Vocês distribuem utilidades domésticas para lojas/mercados da região? Quais marcas trabalham hoje? Qual o volume de compra por mês? Atendem quais cidades?</t>
  </si>
  <si>
    <t xml:space="preserve">3. Gancho</t>
  </si>
  <si>
    <t xml:space="preserve">Nossas linhas que mais giram nas distribuidoras da região são Organização e Potes. Frete CIF sem adicional para a sua cidade, pedido mínimo de R$ 2.500 (R$ 3.570 nos 'Extremos').</t>
  </si>
  <si>
    <t xml:space="preserve">4. Fechamento</t>
  </si>
  <si>
    <t xml:space="preserve">Sair com o envio da tabela + cadastro, e uma data para retorno. Nunca terminar sem próximo passo.</t>
  </si>
  <si>
    <t xml:space="preserve">#</t>
  </si>
  <si>
    <t xml:space="preserve">Razão social</t>
  </si>
  <si>
    <t xml:space="preserve">Nome fantasia</t>
  </si>
  <si>
    <t xml:space="preserve">CNPJ</t>
  </si>
  <si>
    <t xml:space="preserve">Cidade</t>
  </si>
  <si>
    <t xml:space="preserve">Região de entrega</t>
  </si>
  <si>
    <t xml:space="preserve">Endereço</t>
  </si>
  <si>
    <t xml:space="preserve">Bairro</t>
  </si>
  <si>
    <t xml:space="preserve">CEP</t>
  </si>
  <si>
    <t xml:space="preserve">Telefone 1</t>
  </si>
  <si>
    <t xml:space="preserve">Telefone 2</t>
  </si>
  <si>
    <t xml:space="preserve">E-mail (Receita)</t>
  </si>
  <si>
    <t xml:space="preserve">Atividade principal (CNAE)</t>
  </si>
  <si>
    <t xml:space="preserve">Porte</t>
  </si>
  <si>
    <t xml:space="preserve">Capital social (R$)</t>
  </si>
  <si>
    <t xml:space="preserve">Anos de empresa</t>
  </si>
  <si>
    <t xml:space="preserve">Observação</t>
  </si>
  <si>
    <t xml:space="preserve">Status</t>
  </si>
  <si>
    <t xml:space="preserve">Data do contato</t>
  </si>
  <si>
    <t xml:space="preserve">Responsável</t>
  </si>
  <si>
    <t xml:space="preserve">Decisor (nome/cargo)</t>
  </si>
  <si>
    <t xml:space="preserve">Telefone/WhatsApp correto</t>
  </si>
  <si>
    <t xml:space="preserve">Compra de quais marcas hoje?</t>
  </si>
  <si>
    <t xml:space="preserve">Próximo passo</t>
  </si>
  <si>
    <t xml:space="preserve">Valor do 1º pedido (R$)</t>
  </si>
  <si>
    <t xml:space="preserve">MARALAR DISTRIBUIDORA DE UTILIDADES DOMESTICAS LTDA</t>
  </si>
  <si>
    <t xml:space="preserve">MARALAR - DISTRIBUIDORA DE UTILIDADES DOMESTICA</t>
  </si>
  <si>
    <t xml:space="preserve">04.575.811/0001-71</t>
  </si>
  <si>
    <t xml:space="preserve">Iracemapolis</t>
  </si>
  <si>
    <t xml:space="preserve">Extremo de Campinas</t>
  </si>
  <si>
    <t xml:space="preserve">Rua Reinaldo Costa, 305</t>
  </si>
  <si>
    <t xml:space="preserve">Iv Distrito Industrial</t>
  </si>
  <si>
    <t xml:space="preserve">13498-212</t>
  </si>
  <si>
    <t xml:space="preserve">(19) 34564798</t>
  </si>
  <si>
    <t xml:space="preserve">contato.maralar@gmail.com</t>
  </si>
  <si>
    <t xml:space="preserve">4649499 - Comércio atacadista de outros equipamentos e artigos de uso pessoal e doméstico não especificados anteriormente</t>
  </si>
  <si>
    <t xml:space="preserve">Demais (médio/grande)</t>
  </si>
  <si>
    <t xml:space="preserve">Já tem CADASTRO na Nitron (dez/22), mas nunca comprou nos últimos 24 meses: retomar.</t>
  </si>
  <si>
    <t xml:space="preserve">A contatar</t>
  </si>
  <si>
    <t xml:space="preserve">METALTRU DISTRIBUIDORA DE UTILIDADES DOMESTICAS LTDA</t>
  </si>
  <si>
    <t xml:space="preserve">CENTRO DE DISTRIBUIO METALTRU</t>
  </si>
  <si>
    <t xml:space="preserve">11.989.122/0001-79</t>
  </si>
  <si>
    <t xml:space="preserve">Porto Feliz</t>
  </si>
  <si>
    <t xml:space="preserve">Região de Sorocaba</t>
  </si>
  <si>
    <t xml:space="preserve">Avenida Das Moncoes, 361 Sala A</t>
  </si>
  <si>
    <t xml:space="preserve">Itaqui</t>
  </si>
  <si>
    <t xml:space="preserve">18540-000</t>
  </si>
  <si>
    <t xml:space="preserve">(15) 32619261</t>
  </si>
  <si>
    <t xml:space="preserve">metaltru@metaltru.com.br</t>
  </si>
  <si>
    <t xml:space="preserve">Nome e CNAE de distribuidora de UD; 16 anos. Cara de Modenuti/Millenium.</t>
  </si>
  <si>
    <t xml:space="preserve">ATACADAO MONTEBELLO PRESENTES E UTILIDADES LTDA</t>
  </si>
  <si>
    <t xml:space="preserve">43.252.675/0001-30</t>
  </si>
  <si>
    <t xml:space="preserve">Piracicaba</t>
  </si>
  <si>
    <t xml:space="preserve">Campinas e Região</t>
  </si>
  <si>
    <t xml:space="preserve">Rua Vinte E Um De Abril, 20</t>
  </si>
  <si>
    <t xml:space="preserve">Pauliceia</t>
  </si>
  <si>
    <t xml:space="preserve">13424-105</t>
  </si>
  <si>
    <t xml:space="preserve">(19) 33772746</t>
  </si>
  <si>
    <t xml:space="preserve">administracao@atacadaoamontebello.com.br</t>
  </si>
  <si>
    <t xml:space="preserve">4693100 - Comércio atacadista de mercadorias em geral, sem predominância de alimentos ou de insumos agropecuários</t>
  </si>
  <si>
    <t xml:space="preserve">Atacadão de presentes e utilidades, 47 anos.</t>
  </si>
  <si>
    <t xml:space="preserve">UTILIDADES GOURMET COMERCIAL LTDA</t>
  </si>
  <si>
    <t xml:space="preserve">MARCAMIX COMERCIAL IMPORTADORA</t>
  </si>
  <si>
    <t xml:space="preserve">11.247.450/0001-08</t>
  </si>
  <si>
    <t xml:space="preserve">Jundiai</t>
  </si>
  <si>
    <t xml:space="preserve">Avenida Nossa Senhora Auxiliadora, 293 Lote Lote Glf</t>
  </si>
  <si>
    <t xml:space="preserve">Bairro Dos Fernandes</t>
  </si>
  <si>
    <t xml:space="preserve">13214-855</t>
  </si>
  <si>
    <t xml:space="preserve">(11) 31958233</t>
  </si>
  <si>
    <t xml:space="preserve">faturamento01@marcamix.com.br</t>
  </si>
  <si>
    <t xml:space="preserve">Opera como Marcamix/Houseware (importadora com marca própria): confirmar se revende outras marcas ou se é concorrente.</t>
  </si>
  <si>
    <t xml:space="preserve">APAJO DISTRIBUIDORA DE UTILIDADES DOMESTICAS LTDA</t>
  </si>
  <si>
    <t xml:space="preserve">05.265.262/0001-00</t>
  </si>
  <si>
    <t xml:space="preserve">Valinhos</t>
  </si>
  <si>
    <t xml:space="preserve">Alameda Flavia, 215</t>
  </si>
  <si>
    <t xml:space="preserve">Dois Corregos</t>
  </si>
  <si>
    <t xml:space="preserve">13278-180</t>
  </si>
  <si>
    <t xml:space="preserve">(19) 38813360</t>
  </si>
  <si>
    <t xml:space="preserve">EPP</t>
  </si>
  <si>
    <t xml:space="preserve">DISTRIBUIDORA MINUTTI DE UTILIDADES DOMESTICAS LTDA</t>
  </si>
  <si>
    <t xml:space="preserve">06.232.652/0001-38</t>
  </si>
  <si>
    <t xml:space="preserve">Itapetininga</t>
  </si>
  <si>
    <t xml:space="preserve">Extremo de Sorocaba</t>
  </si>
  <si>
    <t xml:space="preserve">Avenida Nisshimbo Do Brasil, 433</t>
  </si>
  <si>
    <t xml:space="preserve">Vila Cubatao</t>
  </si>
  <si>
    <t xml:space="preserve">18200-815</t>
  </si>
  <si>
    <t xml:space="preserve">(15) 32711709</t>
  </si>
  <si>
    <t xml:space="preserve">eduardo@minutti.com.br</t>
  </si>
  <si>
    <t xml:space="preserve">Distribuidora de UD com 23 anos em Itapetininga.</t>
  </si>
  <si>
    <t xml:space="preserve">DATERRA COMERCIAL E DISTRIBUIDORA DE UTILIDADES DOMESTICAS LTDA</t>
  </si>
  <si>
    <t xml:space="preserve">07.860.891/0001-03</t>
  </si>
  <si>
    <t xml:space="preserve">Pereiras</t>
  </si>
  <si>
    <t xml:space="preserve">Rua Ver. Marcos Martins, 138</t>
  </si>
  <si>
    <t xml:space="preserve">Area Industrial</t>
  </si>
  <si>
    <t xml:space="preserve">18580-000</t>
  </si>
  <si>
    <t xml:space="preserve">(14) 38881114</t>
  </si>
  <si>
    <t xml:space="preserve">daterra.pereiras@hotmail.com</t>
  </si>
  <si>
    <t xml:space="preserve">4647801 - Comércio atacadista de artigos de escritório e de papelaria</t>
  </si>
  <si>
    <t xml:space="preserve">G5S COMERCIAL IMPORTADORA EXPORTADORA E DISTRIBUIDORA LTDA.</t>
  </si>
  <si>
    <t xml:space="preserve">18.871.890/0001-72</t>
  </si>
  <si>
    <t xml:space="preserve">Piracaia</t>
  </si>
  <si>
    <t xml:space="preserve">Rua Nair Mathias Lucindo, 02</t>
  </si>
  <si>
    <t xml:space="preserve">Juncal</t>
  </si>
  <si>
    <t xml:space="preserve">12971-234</t>
  </si>
  <si>
    <t xml:space="preserve">(11) 26190771</t>
  </si>
  <si>
    <t xml:space="preserve">marcio@mmartinscontabil.com.br</t>
  </si>
  <si>
    <t xml:space="preserve">E-mail parece ser do contador.</t>
  </si>
  <si>
    <t xml:space="preserve">SAO LUCAS DISTRIBUIDORA DE UTILIDADES DOMESTICAS LTDA</t>
  </si>
  <si>
    <t xml:space="preserve">40.755.087/0001-21</t>
  </si>
  <si>
    <t xml:space="preserve">Santa Barbara D'Oeste</t>
  </si>
  <si>
    <t xml:space="preserve">Rua Topazio, 27</t>
  </si>
  <si>
    <t xml:space="preserve">Jardim Sao Fernando</t>
  </si>
  <si>
    <t xml:space="preserve">13454-292</t>
  </si>
  <si>
    <t xml:space="preserve">(19) 34585280</t>
  </si>
  <si>
    <t xml:space="preserve">lucas_romanzini@hotmail.com</t>
  </si>
  <si>
    <t xml:space="preserve">LIVALE DISTRIBUIDORA DE  MERCADORIAS EM GERAL LTDA</t>
  </si>
  <si>
    <t xml:space="preserve">15.104.520/0001-11</t>
  </si>
  <si>
    <t xml:space="preserve">Sao Jose Dos Campos</t>
  </si>
  <si>
    <t xml:space="preserve">Região de S.J Campos</t>
  </si>
  <si>
    <t xml:space="preserve">Avenida Mario Frigi, 252</t>
  </si>
  <si>
    <t xml:space="preserve">Residencial Bosque Dos Ipes</t>
  </si>
  <si>
    <t xml:space="preserve">12236-871</t>
  </si>
  <si>
    <t xml:space="preserve">(12) 33022375</t>
  </si>
  <si>
    <t xml:space="preserve">drluisroberto.adv@gmail.com</t>
  </si>
  <si>
    <t xml:space="preserve">G.ZAPALA DISTRIBUIDORA LTDA</t>
  </si>
  <si>
    <t xml:space="preserve">GRUPO ZAPALA</t>
  </si>
  <si>
    <t xml:space="preserve">26.185.195/0001-85</t>
  </si>
  <si>
    <t xml:space="preserve">Vinhedo</t>
  </si>
  <si>
    <t xml:space="preserve">Rua Afonso Garbuio, 561</t>
  </si>
  <si>
    <t xml:space="preserve">Santa Claudina</t>
  </si>
  <si>
    <t xml:space="preserve">13284-618</t>
  </si>
  <si>
    <t xml:space="preserve">(19) 38764260</t>
  </si>
  <si>
    <t xml:space="preserve">paula@grupozapala.com.br</t>
  </si>
  <si>
    <t xml:space="preserve">FAGUNDES E FAGUNDES DISTRIBUIDORA DE DESCARTAVEIS LTDA</t>
  </si>
  <si>
    <t xml:space="preserve">FAGUNDES E FAGUNDES DISTRIBUIDORA</t>
  </si>
  <si>
    <t xml:space="preserve">45.985.626/0001-32</t>
  </si>
  <si>
    <t xml:space="preserve">Indaiatuba</t>
  </si>
  <si>
    <t xml:space="preserve">Rua Macassit, 321</t>
  </si>
  <si>
    <t xml:space="preserve">Recreio Campestre Joia</t>
  </si>
  <si>
    <t xml:space="preserve">13347-190</t>
  </si>
  <si>
    <t xml:space="preserve">(11) 18782623</t>
  </si>
  <si>
    <t xml:space="preserve">descartaveisfagundes@hotmail.com</t>
  </si>
  <si>
    <t xml:space="preserve">FAVORITO DA WEB UTILIDADES E ARTIGOS EM GERAL LTDA</t>
  </si>
  <si>
    <t xml:space="preserve">27.665.636/0001-09</t>
  </si>
  <si>
    <t xml:space="preserve">Araraquara</t>
  </si>
  <si>
    <t xml:space="preserve">Região Central SP</t>
  </si>
  <si>
    <t xml:space="preserve">Avenida Ibrain Nobre, 70</t>
  </si>
  <si>
    <t xml:space="preserve">Jardim Rafaela Amoroso Micelli</t>
  </si>
  <si>
    <t xml:space="preserve">14808-034</t>
  </si>
  <si>
    <t xml:space="preserve">(16) 91466100</t>
  </si>
  <si>
    <t xml:space="preserve">favoritoatacado@gmail.com</t>
  </si>
  <si>
    <t xml:space="preserve">Usa o nome Favorito Atacado. Região Central = área da Modenuti: alinhar com o Sebastião.</t>
  </si>
  <si>
    <t xml:space="preserve">IBAS COMERCIO DE UTENSILIOS DE LIMPEZA LTDA</t>
  </si>
  <si>
    <t xml:space="preserve">04.588.373/0001-86</t>
  </si>
  <si>
    <t xml:space="preserve">Mairinque</t>
  </si>
  <si>
    <t xml:space="preserve">Rua Integracao Interplas, 31</t>
  </si>
  <si>
    <t xml:space="preserve">Residencial Parque Cristiane</t>
  </si>
  <si>
    <t xml:space="preserve">18120-000</t>
  </si>
  <si>
    <t xml:space="preserve">(15) 91018227</t>
  </si>
  <si>
    <t xml:space="preserve">(15) 97075036</t>
  </si>
  <si>
    <t xml:space="preserve">irineu.bragante@gmail.com</t>
  </si>
  <si>
    <t xml:space="preserve">MARILIA DE OLIVEIRA COMERCIO DE UTILIDADES DOMESTICAS LTDA</t>
  </si>
  <si>
    <t xml:space="preserve">08.539.133/0001-42</t>
  </si>
  <si>
    <t xml:space="preserve">Pedreira</t>
  </si>
  <si>
    <t xml:space="preserve">Rua Lourenco Tasso, 21/31</t>
  </si>
  <si>
    <t xml:space="preserve">Jardim Marajoara</t>
  </si>
  <si>
    <t xml:space="preserve">13928-444</t>
  </si>
  <si>
    <t xml:space="preserve">(19) 38931255</t>
  </si>
  <si>
    <t xml:space="preserve">edersoares@uol.com.br</t>
  </si>
  <si>
    <t xml:space="preserve">Pedreira é polo de fábricas de plástico: confirmar se revende ou fabrica.</t>
  </si>
  <si>
    <t xml:space="preserve">MPLASTIC STORE DISTRIBUIDORA DE ARTEFATOS PLASTICOS E METALICOS LTDA</t>
  </si>
  <si>
    <t xml:space="preserve">08.562.964/0001-35</t>
  </si>
  <si>
    <t xml:space="preserve">Salto</t>
  </si>
  <si>
    <t xml:space="preserve">Avenida Walter Nardelli, 722 Lote 11 Quadra V</t>
  </si>
  <si>
    <t xml:space="preserve">Residencial Parque Imperial</t>
  </si>
  <si>
    <t xml:space="preserve">13323-760</t>
  </si>
  <si>
    <t xml:space="preserve">(11) 29427118</t>
  </si>
  <si>
    <t xml:space="preserve">agente.claudiomoraes@gmail.com</t>
  </si>
  <si>
    <t xml:space="preserve">TRACIONAR COMERCIO DE UTILIDADES LTDA</t>
  </si>
  <si>
    <t xml:space="preserve">15.253.243/0001-09</t>
  </si>
  <si>
    <t xml:space="preserve">Rua Sd Dona Catarina, 0 Lote 75</t>
  </si>
  <si>
    <t xml:space="preserve">Area Rural De Mairinque</t>
  </si>
  <si>
    <t xml:space="preserve">18123-899</t>
  </si>
  <si>
    <t xml:space="preserve">(11) 31067011</t>
  </si>
  <si>
    <t xml:space="preserve">contato@contabilesquema.com.br</t>
  </si>
  <si>
    <t xml:space="preserve">MAESTRAL COMERCIAL, IMPORTADORA E EXPORTADORA LTDA</t>
  </si>
  <si>
    <t xml:space="preserve">11.670.333/0001-44</t>
  </si>
  <si>
    <t xml:space="preserve">Avenida Antonio Frederico Ozanan, 11200</t>
  </si>
  <si>
    <t xml:space="preserve">Distrito Industrial</t>
  </si>
  <si>
    <t xml:space="preserve">13213-030</t>
  </si>
  <si>
    <t xml:space="preserve">(11) 45829651</t>
  </si>
  <si>
    <t xml:space="preserve">fiscal1@distribuidoramaestral.com.br</t>
  </si>
  <si>
    <t xml:space="preserve">Distribuidora Maestral (domínio próprio); 17 anos.</t>
  </si>
  <si>
    <t xml:space="preserve">BRESSAN DISTRIBUIDORA LTDA</t>
  </si>
  <si>
    <t xml:space="preserve">DISTRIBUIDORA BRESSAN</t>
  </si>
  <si>
    <t xml:space="preserve">01.181.512/0001-64</t>
  </si>
  <si>
    <t xml:space="preserve">Rua Nerina Duarte Manzatto, 150 Sala 01 Frente</t>
  </si>
  <si>
    <t xml:space="preserve">Jardim Dos Ypes</t>
  </si>
  <si>
    <t xml:space="preserve">13920-514</t>
  </si>
  <si>
    <t xml:space="preserve">atacadobressan@gmail.com</t>
  </si>
  <si>
    <t xml:space="preserve">Telefone da Receita inválido: buscar no Google/site.</t>
  </si>
  <si>
    <t xml:space="preserve">J. J. DISTRIBUIDORA ARARAQUARA LTDA</t>
  </si>
  <si>
    <t xml:space="preserve">04.574.350/0001-12</t>
  </si>
  <si>
    <t xml:space="preserve">Rua Princesa Isabel, 1473</t>
  </si>
  <si>
    <t xml:space="preserve">Vila Xavier</t>
  </si>
  <si>
    <t xml:space="preserve">14810-090</t>
  </si>
  <si>
    <t xml:space="preserve">Sem telefone na Receita. Região Central = área da Modenuti: alinhar com o Sebastião.</t>
  </si>
  <si>
    <t xml:space="preserve">JP ARTIOLI DISTRIBUIDORA LTDA</t>
  </si>
  <si>
    <t xml:space="preserve">12.983.291/0001-64</t>
  </si>
  <si>
    <t xml:space="preserve">Campinas</t>
  </si>
  <si>
    <t xml:space="preserve">Rua Joao Batista Oliveira Sampaio, 95 Fundos</t>
  </si>
  <si>
    <t xml:space="preserve">Pq Dos Jacarandas</t>
  </si>
  <si>
    <t xml:space="preserve">13086-210</t>
  </si>
  <si>
    <t xml:space="preserve">(19) 32427997</t>
  </si>
  <si>
    <t xml:space="preserve">massotticontabil@terra.com.br</t>
  </si>
  <si>
    <t xml:space="preserve">DISTRIBUIDORA GUIMARAES LTDA</t>
  </si>
  <si>
    <t xml:space="preserve">DISTRIBUIDORA GUIMARAES</t>
  </si>
  <si>
    <t xml:space="preserve">22.248.811/0001-49</t>
  </si>
  <si>
    <t xml:space="preserve">Sorocaba</t>
  </si>
  <si>
    <t xml:space="preserve">Rua Professora Aloysia Amparo, 1085</t>
  </si>
  <si>
    <t xml:space="preserve">Iporanga</t>
  </si>
  <si>
    <t xml:space="preserve">18087-156</t>
  </si>
  <si>
    <t xml:space="preserve">(15) 32274585</t>
  </si>
  <si>
    <t xml:space="preserve">distribuidoraguimaraes.sorocaba@gmail.com</t>
  </si>
  <si>
    <t xml:space="preserve">KAKO ATACADO LTDA</t>
  </si>
  <si>
    <t xml:space="preserve">25.449.195/0001-82</t>
  </si>
  <si>
    <t xml:space="preserve">Rua Riachuelo, 75</t>
  </si>
  <si>
    <t xml:space="preserve">Jardim Paulista</t>
  </si>
  <si>
    <t xml:space="preserve">12216-040</t>
  </si>
  <si>
    <t xml:space="preserve">(12) 32071464</t>
  </si>
  <si>
    <t xml:space="preserve">kakoatacado@gmail.com</t>
  </si>
  <si>
    <t xml:space="preserve">JOTA REIS CORPORATION ATACADO DE UTILIDADES DO LAR LTDA</t>
  </si>
  <si>
    <t xml:space="preserve">34.041.526/0001-31</t>
  </si>
  <si>
    <t xml:space="preserve">Cacapava</t>
  </si>
  <si>
    <t xml:space="preserve">Rua Romeu Cherquer, 328</t>
  </si>
  <si>
    <t xml:space="preserve">Residencial Esperanca</t>
  </si>
  <si>
    <t xml:space="preserve">12285-505</t>
  </si>
  <si>
    <t xml:space="preserve">(11) 80516034</t>
  </si>
  <si>
    <t xml:space="preserve">comercial@jotareis.com.br</t>
  </si>
  <si>
    <t xml:space="preserve">REMA UTILIDADES LTDA</t>
  </si>
  <si>
    <t xml:space="preserve">REMA</t>
  </si>
  <si>
    <t xml:space="preserve">36.703.258/0001-00</t>
  </si>
  <si>
    <t xml:space="preserve">Rua Olympio Antonio Da Silva, 111</t>
  </si>
  <si>
    <t xml:space="preserve">Jardim Guadalajara</t>
  </si>
  <si>
    <t xml:space="preserve">18045-700</t>
  </si>
  <si>
    <t xml:space="preserve">(15) 32173805</t>
  </si>
  <si>
    <t xml:space="preserve">padulacardoso@gmail.com</t>
  </si>
  <si>
    <t xml:space="preserve">LAR UTENSILIOS COMERCIO DE UTILIDADES LTDA</t>
  </si>
  <si>
    <t xml:space="preserve">VILAR UTENSILIOS</t>
  </si>
  <si>
    <t xml:space="preserve">38.471.161/0001-36</t>
  </si>
  <si>
    <t xml:space="preserve">Sao Roque</t>
  </si>
  <si>
    <t xml:space="preserve">Rua Faustina Maria Das Dores, 290</t>
  </si>
  <si>
    <t xml:space="preserve">Centro (Sao Joao Novo)</t>
  </si>
  <si>
    <t xml:space="preserve">18140-038</t>
  </si>
  <si>
    <t xml:space="preserve">(11) 99635648</t>
  </si>
  <si>
    <t xml:space="preserve">contato@vilarutensilios.com.br</t>
  </si>
  <si>
    <t xml:space="preserve">DU LAR AMERICANA COMERCIO DE UTILIDADES DOMESTICAS LTDA</t>
  </si>
  <si>
    <t xml:space="preserve">CASTROESANTANA</t>
  </si>
  <si>
    <t xml:space="preserve">42.089.430/0001-71</t>
  </si>
  <si>
    <t xml:space="preserve">Americana</t>
  </si>
  <si>
    <t xml:space="preserve">Rua Coroados, 100</t>
  </si>
  <si>
    <t xml:space="preserve">Conserva</t>
  </si>
  <si>
    <t xml:space="preserve">13466-010</t>
  </si>
  <si>
    <t xml:space="preserve">(19) 34783784</t>
  </si>
  <si>
    <t xml:space="preserve">castro.santana.confeccao@hotmail.com</t>
  </si>
  <si>
    <t xml:space="preserve">TUKANO UD IMPORT COMPANY LTDA</t>
  </si>
  <si>
    <t xml:space="preserve">TUKANO UD IMPORT COMPANY</t>
  </si>
  <si>
    <t xml:space="preserve">44.298.564/0001-28</t>
  </si>
  <si>
    <t xml:space="preserve">Rio Claro</t>
  </si>
  <si>
    <t xml:space="preserve">Avenida 2 A, 48</t>
  </si>
  <si>
    <t xml:space="preserve">Cidade Nova</t>
  </si>
  <si>
    <t xml:space="preserve">13506-780</t>
  </si>
  <si>
    <t xml:space="preserve">(19) 30238026</t>
  </si>
  <si>
    <t xml:space="preserve">sccontabil2010@gmail.com</t>
  </si>
  <si>
    <t xml:space="preserve">REDE BOM LUGAR-CENTRAL DE DISTRIBUICAO ATACADISTA DE MERCADORIAS EM GERAL LTDA</t>
  </si>
  <si>
    <t xml:space="preserve">REDE BOM LUGAR-CENTRAL DE DISTRIBUICAO ATACADISTA</t>
  </si>
  <si>
    <t xml:space="preserve">10.809.205/0001-76</t>
  </si>
  <si>
    <t xml:space="preserve">Avenida Hollingsworth, 1046</t>
  </si>
  <si>
    <t xml:space="preserve">18087-105</t>
  </si>
  <si>
    <t xml:space="preserve">(15) 33571827</t>
  </si>
  <si>
    <t xml:space="preserve">redebomlugar@redebomlugar.com.br</t>
  </si>
  <si>
    <t xml:space="preserve">Central de distribuição de rede (Bom Lugar). Já tem CADASTRO na Nitron, sem compra em 24 meses.</t>
  </si>
  <si>
    <t xml:space="preserve">PRADO PRODUTOS NACIONAIS E IMPORTADOS MATAO LTDA</t>
  </si>
  <si>
    <t xml:space="preserve">PRADO PRODUTOS NACIONAIS E IMPORTADOS</t>
  </si>
  <si>
    <t xml:space="preserve">02.612.347/0001-10</t>
  </si>
  <si>
    <t xml:space="preserve">Matao</t>
  </si>
  <si>
    <t xml:space="preserve">Rua Madre Leonia Melito, 284</t>
  </si>
  <si>
    <t xml:space="preserve">Jardim Cambui</t>
  </si>
  <si>
    <t xml:space="preserve">15990-520</t>
  </si>
  <si>
    <t xml:space="preserve">(16) 33829339</t>
  </si>
  <si>
    <t xml:space="preserve">financeiro@pradopresentes.com.br</t>
  </si>
  <si>
    <t xml:space="preserve">Região Central = área da Modenuti. Alinhar com o Sebastião antes.</t>
  </si>
  <si>
    <t xml:space="preserve">HOUSEWARE BRASIL COMERCIAL LTDA.</t>
  </si>
  <si>
    <t xml:space="preserve">HOUSEWARE BRASIL</t>
  </si>
  <si>
    <t xml:space="preserve">52.362.985/0001-07</t>
  </si>
  <si>
    <t xml:space="preserve">Louveira</t>
  </si>
  <si>
    <t xml:space="preserve">(11) 45271355</t>
  </si>
  <si>
    <t xml:space="preserve">RAVI PRESENTES LTDA</t>
  </si>
  <si>
    <t xml:space="preserve">65.484.453/0001-86</t>
  </si>
  <si>
    <t xml:space="preserve">(16) 97389040</t>
  </si>
  <si>
    <t xml:space="preserve">natasha@ravi.com.br</t>
  </si>
  <si>
    <t xml:space="preserve">MABEL COMERCIO DE IMPORTADOS LTDA</t>
  </si>
  <si>
    <t xml:space="preserve">MABEL</t>
  </si>
  <si>
    <t xml:space="preserve">00.527.682/0001-95</t>
  </si>
  <si>
    <t xml:space="preserve">(11) 33150052</t>
  </si>
  <si>
    <t xml:space="preserve">deptofiscal@mabelimport.com.br</t>
  </si>
  <si>
    <t xml:space="preserve">OCP DE CASTRO IMPORTADORA E EXPORTADORA LTDA</t>
  </si>
  <si>
    <t xml:space="preserve">PASIN DISTRIBUIDORA</t>
  </si>
  <si>
    <t xml:space="preserve">09.235.849/0001-19</t>
  </si>
  <si>
    <t xml:space="preserve">Guaratingueta</t>
  </si>
  <si>
    <t xml:space="preserve">(12) 31328755</t>
  </si>
  <si>
    <t xml:space="preserve">contato@pasindistribuidora.com.br</t>
  </si>
  <si>
    <t xml:space="preserve">4651601 - Comércio atacadista de equipamentos de informática</t>
  </si>
  <si>
    <t xml:space="preserve">R &amp; R COMERCIO ATACADISTA DE PLASTICOS LTDA</t>
  </si>
  <si>
    <t xml:space="preserve">PLASTROMA</t>
  </si>
  <si>
    <t xml:space="preserve">13.978.577/0001-14</t>
  </si>
  <si>
    <t xml:space="preserve">Lorena</t>
  </si>
  <si>
    <t xml:space="preserve">(12) 31572021</t>
  </si>
  <si>
    <t xml:space="preserve">patricia@plastroma.com.br</t>
  </si>
  <si>
    <t xml:space="preserve">4686902 - Comércio atacadista de embalagens</t>
  </si>
  <si>
    <t xml:space="preserve">PAPEL, PLASTICO ITUPEVA LTDA</t>
  </si>
  <si>
    <t xml:space="preserve">13.254.314/0001-62</t>
  </si>
  <si>
    <t xml:space="preserve">Itupeva</t>
  </si>
  <si>
    <t xml:space="preserve">(11) 45917800</t>
  </si>
  <si>
    <t xml:space="preserve">contabilidade@papelplasticoecia.com.br</t>
  </si>
  <si>
    <t xml:space="preserve">PLASTY COMERCIAL DE PLASTICOS LTDA</t>
  </si>
  <si>
    <t xml:space="preserve">14.143.398/0001-20</t>
  </si>
  <si>
    <t xml:space="preserve">Cabreuva</t>
  </si>
  <si>
    <t xml:space="preserve">(11) 44090919</t>
  </si>
  <si>
    <t xml:space="preserve">contato@isoforma.com.br</t>
  </si>
  <si>
    <t xml:space="preserve">O. V. D. IMPORTADORA E DISTRIBUIDORA LTDA</t>
  </si>
  <si>
    <t xml:space="preserve">76.635.689/0015-98</t>
  </si>
  <si>
    <t xml:space="preserve">(11) 27081000</t>
  </si>
  <si>
    <t xml:space="preserve">contabilidade@ovd.com.br</t>
  </si>
  <si>
    <t xml:space="preserve">4672900 - Comércio atacadista de ferragens e ferramentas</t>
  </si>
  <si>
    <t xml:space="preserve">ABM GLOBAL - COMERCIAL, IMPORTADORA E EXPORTADORA LTDA.</t>
  </si>
  <si>
    <t xml:space="preserve">ABM GLOBAL - IMPORT &amp; EXPORT</t>
  </si>
  <si>
    <t xml:space="preserve">15.530.366/0001-40</t>
  </si>
  <si>
    <t xml:space="preserve">(19) 33655860</t>
  </si>
  <si>
    <t xml:space="preserve">alexandry@abmglobal.com.br</t>
  </si>
  <si>
    <t xml:space="preserve">PPS DISTRIBUICAO E COMERCIO LTDA</t>
  </si>
  <si>
    <t xml:space="preserve">****************</t>
  </si>
  <si>
    <t xml:space="preserve">15.281.596/0007-08</t>
  </si>
  <si>
    <t xml:space="preserve">Monte Mor</t>
  </si>
  <si>
    <t xml:space="preserve">(47) 32675400</t>
  </si>
  <si>
    <t xml:space="preserve">rpita@ppsdistribuidora.com.br</t>
  </si>
  <si>
    <t xml:space="preserve">RENOVA IMPORTS E DISTRIBUIDORA LTDA</t>
  </si>
  <si>
    <t xml:space="preserve">31.364.612/0001-97</t>
  </si>
  <si>
    <t xml:space="preserve">Campo Limpo Paulista</t>
  </si>
  <si>
    <t xml:space="preserve">(11) 51284737</t>
  </si>
  <si>
    <t xml:space="preserve">contato@renovaimports.com.br</t>
  </si>
  <si>
    <t xml:space="preserve">CRIVESAN CAMPINAS LTDA</t>
  </si>
  <si>
    <t xml:space="preserve">FWM DISTRIBUIDORA</t>
  </si>
  <si>
    <t xml:space="preserve">02.716.574/0001-96</t>
  </si>
  <si>
    <t xml:space="preserve">(19) 32916754</t>
  </si>
  <si>
    <t xml:space="preserve">fwmpaulocarraro@gmail.com</t>
  </si>
  <si>
    <t xml:space="preserve">JFZ IMPORTACAO E DISTRIBUICAO LTDA</t>
  </si>
  <si>
    <t xml:space="preserve">11.022.033/0001-59</t>
  </si>
  <si>
    <t xml:space="preserve">(19) 35349888</t>
  </si>
  <si>
    <t xml:space="preserve">comercial@jfz.com.br</t>
  </si>
  <si>
    <t xml:space="preserve">QUICKLOG COMERCIO ATACADISTA E LOGISTICA LTDA</t>
  </si>
  <si>
    <t xml:space="preserve">22.929.478/0001-33</t>
  </si>
  <si>
    <t xml:space="preserve">Igarata</t>
  </si>
  <si>
    <t xml:space="preserve">(11) 46581492</t>
  </si>
  <si>
    <t xml:space="preserve">contato@quicklogatacadista.com.br</t>
  </si>
  <si>
    <t xml:space="preserve">NOBE COMERCIO, IMPORTACAO E EXPORTACAO DE UTENSILIOS DOMESTICOS LTDA</t>
  </si>
  <si>
    <t xml:space="preserve">27.919.813/0001-36</t>
  </si>
  <si>
    <t xml:space="preserve">(15) 32283963</t>
  </si>
  <si>
    <t xml:space="preserve">vendas@nobe-utensilios.com.br</t>
  </si>
  <si>
    <t xml:space="preserve">TDA DISTRIBUIDORA ACESSORIOS E DESCARTAVEIS LTDA</t>
  </si>
  <si>
    <t xml:space="preserve">45.638.508/0001-58</t>
  </si>
  <si>
    <t xml:space="preserve">(12) 81517574</t>
  </si>
  <si>
    <t xml:space="preserve">tupydescartaveis@hotmail.com</t>
  </si>
  <si>
    <t xml:space="preserve">IMELTRON COMERCIO IMPORTACAO E EXPORTACAO LTDA</t>
  </si>
  <si>
    <t xml:space="preserve">IMELTRON</t>
  </si>
  <si>
    <t xml:space="preserve">54.081.906/0001-07</t>
  </si>
  <si>
    <t xml:space="preserve">(19) 32021600</t>
  </si>
  <si>
    <t xml:space="preserve">financeiro@imeltron.com.br</t>
  </si>
  <si>
    <t xml:space="preserve">MONDO SOMMERSO COMERCIO, IMPORTACAO E EXPORTACAO LTDA</t>
  </si>
  <si>
    <t xml:space="preserve">54.813.134/0001-50</t>
  </si>
  <si>
    <t xml:space="preserve">(11) 51828028</t>
  </si>
  <si>
    <t xml:space="preserve">aug@uol.com.br</t>
  </si>
  <si>
    <t xml:space="preserve">MADELANDIA DISTRIBUIDORA DE MADEIRAS LTDA</t>
  </si>
  <si>
    <t xml:space="preserve">56.303.761/0001-77</t>
  </si>
  <si>
    <t xml:space="preserve">Mogi Mirim</t>
  </si>
  <si>
    <t xml:space="preserve">4689399 - Comércio atacadista especializado em outros produtos intermediários não especificados anteriormente</t>
  </si>
  <si>
    <t xml:space="preserve">MAPA COMERCIAL E DISTRIBUIDORA LTDA.</t>
  </si>
  <si>
    <t xml:space="preserve">59.826.800/0001-09</t>
  </si>
  <si>
    <t xml:space="preserve">Santa Rita Do Passa Quatro</t>
  </si>
  <si>
    <t xml:space="preserve">(19) 35821173</t>
  </si>
  <si>
    <t xml:space="preserve">4639701 - Comércio atacadista de produtos alimentícios em geral</t>
  </si>
  <si>
    <t xml:space="preserve">EXTREME COMERCIAL ATACADISTA E TRANSPORTES LTDA</t>
  </si>
  <si>
    <t xml:space="preserve">64.121.064/0001-23</t>
  </si>
  <si>
    <t xml:space="preserve">Sao Carlos</t>
  </si>
  <si>
    <t xml:space="preserve">(19) 35854345</t>
  </si>
  <si>
    <t xml:space="preserve">pioneirocontabilidade@uol.com.br</t>
  </si>
  <si>
    <t xml:space="preserve">4637199 - Comércio atacadista especializado em outros produtos alimentícios não especificados anteriormente</t>
  </si>
  <si>
    <t xml:space="preserve">FIAT LUX DA AMAZONIA S.A</t>
  </si>
  <si>
    <t xml:space="preserve">CRICKET</t>
  </si>
  <si>
    <t xml:space="preserve">05.458.096/0008-26</t>
  </si>
  <si>
    <t xml:space="preserve">Itatiba</t>
  </si>
  <si>
    <t xml:space="preserve">(11) 45240505</t>
  </si>
  <si>
    <t xml:space="preserve">fiscal@fiatlux.com.br</t>
  </si>
  <si>
    <t xml:space="preserve">NATOCAMP DISTRIBUIDORA LTDA</t>
  </si>
  <si>
    <t xml:space="preserve">NATOCAMP</t>
  </si>
  <si>
    <t xml:space="preserve">00.528.808/0001-46</t>
  </si>
  <si>
    <t xml:space="preserve">(19) 32278043</t>
  </si>
  <si>
    <t xml:space="preserve">natocamp@natocamp.com.br</t>
  </si>
  <si>
    <t xml:space="preserve">MULTIPACK COMERCIAL EMBALAGENS LTDA</t>
  </si>
  <si>
    <t xml:space="preserve">MULTIPACK COMERCIAL</t>
  </si>
  <si>
    <t xml:space="preserve">02.184.384/0001-75</t>
  </si>
  <si>
    <t xml:space="preserve">(16) 33633377</t>
  </si>
  <si>
    <t xml:space="preserve">nfe@multipackcomercial.com.br</t>
  </si>
  <si>
    <t xml:space="preserve">F.G.A. COMERCIO LTDA</t>
  </si>
  <si>
    <t xml:space="preserve">02.896.414/0001-76</t>
  </si>
  <si>
    <t xml:space="preserve">Ipero</t>
  </si>
  <si>
    <t xml:space="preserve">(15) 32244299</t>
  </si>
  <si>
    <t xml:space="preserve">masson@massoncontabil.com.br</t>
  </si>
  <si>
    <t xml:space="preserve">EMPORIO DA CASA LTDA</t>
  </si>
  <si>
    <t xml:space="preserve">EMPORIO DA CASA</t>
  </si>
  <si>
    <t xml:space="preserve">03.236.665/0001-97</t>
  </si>
  <si>
    <t xml:space="preserve">Porto Ferreira</t>
  </si>
  <si>
    <t xml:space="preserve">(19) 35812667</t>
  </si>
  <si>
    <t xml:space="preserve">emporiocasaf@outlook.com</t>
  </si>
  <si>
    <t xml:space="preserve">ORLA DISTRIBUIDORA DE PRODUTOS LTDA</t>
  </si>
  <si>
    <t xml:space="preserve">ORLA DISTRIBUIDORA DE PRODUTOS EIRELI</t>
  </si>
  <si>
    <t xml:space="preserve">04.013.164/0001-04</t>
  </si>
  <si>
    <t xml:space="preserve">Taubate</t>
  </si>
  <si>
    <t xml:space="preserve">(12) 34326006</t>
  </si>
  <si>
    <t xml:space="preserve">contratos@orladistribuidora.com.br</t>
  </si>
  <si>
    <t xml:space="preserve">M. SHOP COMERCIAL LTDA</t>
  </si>
  <si>
    <t xml:space="preserve">01.490.698/0008-00</t>
  </si>
  <si>
    <t xml:space="preserve">Jarinu</t>
  </si>
  <si>
    <t xml:space="preserve">(11) 21627778</t>
  </si>
  <si>
    <t xml:space="preserve">tributario.mshop@mcassab.com.br</t>
  </si>
  <si>
    <t xml:space="preserve">TW SERVICOS E COMERCIO EXTERIOR LTDA</t>
  </si>
  <si>
    <t xml:space="preserve">TRADEWORLD</t>
  </si>
  <si>
    <t xml:space="preserve">04.344.590/0001-20</t>
  </si>
  <si>
    <t xml:space="preserve">(19) 32340088</t>
  </si>
  <si>
    <t xml:space="preserve">vidalservcont@hotmail.com</t>
  </si>
  <si>
    <t xml:space="preserve">COMERCIAL E DISTRIBUIDORA INDALFA LTDA.</t>
  </si>
  <si>
    <t xml:space="preserve">04.800.350/0001-93</t>
  </si>
  <si>
    <t xml:space="preserve">(16) 33221912</t>
  </si>
  <si>
    <t xml:space="preserve">indalfa@indalfa.com.br</t>
  </si>
  <si>
    <t xml:space="preserve">BANDEIRA IMPORTACAO E COMERCIO LTDA</t>
  </si>
  <si>
    <t xml:space="preserve">QUALIFEST</t>
  </si>
  <si>
    <t xml:space="preserve">06.009.844/0001-80</t>
  </si>
  <si>
    <t xml:space="preserve">(11) 39635206</t>
  </si>
  <si>
    <t xml:space="preserve">financeiro@qualifest.com.br</t>
  </si>
  <si>
    <t xml:space="preserve">DISTRIBUIDORA V.C. LTDA.</t>
  </si>
  <si>
    <t xml:space="preserve">07.255.947/0001-92</t>
  </si>
  <si>
    <t xml:space="preserve">Leme</t>
  </si>
  <si>
    <t xml:space="preserve">(19) 35711929</t>
  </si>
  <si>
    <t xml:space="preserve">distribuidoradecigarrosvc@hotmail.com</t>
  </si>
  <si>
    <t xml:space="preserve">4636202 - Comércio atacadista de cigarros, cigarrilhas e charutos</t>
  </si>
  <si>
    <t xml:space="preserve">FB IMPORTACAO E EXPORTACAO LTDA</t>
  </si>
  <si>
    <t xml:space="preserve">08.062.565/0001-05</t>
  </si>
  <si>
    <t xml:space="preserve">(11) 36435600</t>
  </si>
  <si>
    <t xml:space="preserve">atendimento@clmcontroller.com.br</t>
  </si>
  <si>
    <t xml:space="preserve">IRON COMERCIAL ATACADISTA LTDA</t>
  </si>
  <si>
    <t xml:space="preserve">IRON COMERCIAL</t>
  </si>
  <si>
    <t xml:space="preserve">08.238.058/0001-80</t>
  </si>
  <si>
    <t xml:space="preserve">(16) 97698666</t>
  </si>
  <si>
    <t xml:space="preserve">diretoria@ironcomercialatacadista.com.br</t>
  </si>
  <si>
    <t xml:space="preserve">TOP MASTER IMPORTACAO E DISTRIBUICAO DE EQUIPAMENTOS LTDA</t>
  </si>
  <si>
    <t xml:space="preserve">09.269.781/0001-99</t>
  </si>
  <si>
    <t xml:space="preserve">(12) 33823362</t>
  </si>
  <si>
    <t xml:space="preserve">jrs_consultoria@hotmail.com</t>
  </si>
  <si>
    <t xml:space="preserve">4642702 - Comércio atacadista de roupas e acessórios para uso profissional e de segurança do trabalho</t>
  </si>
  <si>
    <t xml:space="preserve">DATTA IMPORTACAO E EXPORTACAO LTDA</t>
  </si>
  <si>
    <t xml:space="preserve">DATTA INTERNATIONAL</t>
  </si>
  <si>
    <t xml:space="preserve">09.565.004/0001-91</t>
  </si>
  <si>
    <t xml:space="preserve">(16) 33353187</t>
  </si>
  <si>
    <t xml:space="preserve">sa.assessoria@techs.com.br</t>
  </si>
  <si>
    <t xml:space="preserve">KALEB DISTRIBUIDORA LTDA</t>
  </si>
  <si>
    <t xml:space="preserve">COMERCIAL KALEB</t>
  </si>
  <si>
    <t xml:space="preserve">11.055.046/0001-24</t>
  </si>
  <si>
    <t xml:space="preserve">(11) 43840761</t>
  </si>
  <si>
    <t xml:space="preserve">legalizacao1@ttlcontroladoria.com.br</t>
  </si>
  <si>
    <t xml:space="preserve">D R T DISTRIBUIDORA DE ARTIGOS PARA CASA LTDA</t>
  </si>
  <si>
    <t xml:space="preserve">DURATTO</t>
  </si>
  <si>
    <t xml:space="preserve">11.164.349/0001-85</t>
  </si>
  <si>
    <t xml:space="preserve">(19) 32322902</t>
  </si>
  <si>
    <t xml:space="preserve">duratto@duratto.com.br</t>
  </si>
  <si>
    <t xml:space="preserve">4649408 - Comércio atacadista de produtos de higiene, limpeza e conservação domiciliar</t>
  </si>
  <si>
    <t xml:space="preserve">URANIO DISTRIBUIDORA E COMERCIO ATACADISTA DE PRODUTOS LTDA</t>
  </si>
  <si>
    <t xml:space="preserve">URANIO DISTRIBUIDORA E COMERCIO ATACADISTA DE PRODUTOS</t>
  </si>
  <si>
    <t xml:space="preserve">10.953.229/0002-85</t>
  </si>
  <si>
    <t xml:space="preserve">(35) 37294400</t>
  </si>
  <si>
    <t xml:space="preserve">maria.ferreira@vilanova.com.br</t>
  </si>
  <si>
    <t xml:space="preserve">BID IMPORT COMERCIAL ATACADISTA LTDA</t>
  </si>
  <si>
    <t xml:space="preserve">BID IMPORT</t>
  </si>
  <si>
    <t xml:space="preserve">13.131.844/0001-13</t>
  </si>
  <si>
    <t xml:space="preserve">(19) 25320020</t>
  </si>
  <si>
    <t xml:space="preserve">financeiro@bidimport.com.br</t>
  </si>
  <si>
    <t xml:space="preserve">STR IMPORTACAO E EXPORTACAO LTDA.</t>
  </si>
  <si>
    <t xml:space="preserve">STR IMPORTACAO E EXPORTACAO</t>
  </si>
  <si>
    <t xml:space="preserve">13.526.032/0001-77</t>
  </si>
  <si>
    <t xml:space="preserve">(19) 32728532</t>
  </si>
  <si>
    <t xml:space="preserve">ecsaojose@uol.com.br</t>
  </si>
  <si>
    <t xml:space="preserve">NOVA GPB - GAXETAS E PERFIS DO BRASIL LTDA</t>
  </si>
  <si>
    <t xml:space="preserve">NOVA GPB GAXETAS E PERFIS DO BRASIL LTDA.</t>
  </si>
  <si>
    <t xml:space="preserve">12.469.478/0002-25</t>
  </si>
  <si>
    <t xml:space="preserve">(11) 50962151</t>
  </si>
  <si>
    <t xml:space="preserve">gerson.menghini@gpb.ind.br</t>
  </si>
  <si>
    <t xml:space="preserve">FABL DISTRIBUIDORA LTDA</t>
  </si>
  <si>
    <t xml:space="preserve">VOBEL EXPRESS</t>
  </si>
  <si>
    <t xml:space="preserve">18.055.907/0001-13</t>
  </si>
  <si>
    <t xml:space="preserve">Tatui</t>
  </si>
  <si>
    <t xml:space="preserve">(15) 32110164</t>
  </si>
  <si>
    <t xml:space="preserve">legalizacao@net-rosario.com.br</t>
  </si>
  <si>
    <t xml:space="preserve">4646001 - Comércio atacadista de cosméticos e produtos de perfumaria</t>
  </si>
  <si>
    <t xml:space="preserve">ATACA TUDO COMERCIO VAREJISTA E ATACADISTA LTDA</t>
  </si>
  <si>
    <t xml:space="preserve">ATACA TUDO COMERCIO VAREJISTA E ATACADISTA</t>
  </si>
  <si>
    <t xml:space="preserve">18.486.299/0001-00</t>
  </si>
  <si>
    <t xml:space="preserve">Varzea Paulista</t>
  </si>
  <si>
    <t xml:space="preserve">(11) 45969200</t>
  </si>
  <si>
    <t xml:space="preserve">escritorio@pasqualino.com.br</t>
  </si>
  <si>
    <t xml:space="preserve">4637107 - Comércio atacadista de chocolates, confeitos, balas, bombons e semelhantes</t>
  </si>
  <si>
    <t xml:space="preserve">PLATLOG IMPORTACAO, LOGISTICA E DISTRIBUICAO LTDA</t>
  </si>
  <si>
    <t xml:space="preserve">*****</t>
  </si>
  <si>
    <t xml:space="preserve">02.229.804/0005-16</t>
  </si>
  <si>
    <t xml:space="preserve">(11) 29232801</t>
  </si>
  <si>
    <t xml:space="preserve">contabilidade@platlog.com.br</t>
  </si>
  <si>
    <t xml:space="preserve">NO PAIN NO GAIN COMERCIO, DISTRIBUICAO, IMPORTACAO E EXPORTACAO LTDA.</t>
  </si>
  <si>
    <t xml:space="preserve">NO PAIN NO GAIN</t>
  </si>
  <si>
    <t xml:space="preserve">19.370.896/0001-29</t>
  </si>
  <si>
    <t xml:space="preserve">(19) 32330005</t>
  </si>
  <si>
    <t xml:space="preserve">fiscal2@empresariobr.com.br</t>
  </si>
  <si>
    <t xml:space="preserve">MAURICIO PADULA PARDO LTDA</t>
  </si>
  <si>
    <t xml:space="preserve">RIO PARDO DISTRIBUIDORA DE ATACADO</t>
  </si>
  <si>
    <t xml:space="preserve">20.044.860/0001-34</t>
  </si>
  <si>
    <t xml:space="preserve">Sao Jose Do Rio Pardo</t>
  </si>
  <si>
    <t xml:space="preserve">(19) 36828777</t>
  </si>
  <si>
    <t xml:space="preserve">vendas@riopardoembalagens.com.br</t>
  </si>
  <si>
    <t xml:space="preserve">OMGEST COMERCIO, IMPORTACAO E EXPORTACAO LTDA</t>
  </si>
  <si>
    <t xml:space="preserve">OMGEST COMERCIO</t>
  </si>
  <si>
    <t xml:space="preserve">20.934.739/0001-88</t>
  </si>
  <si>
    <t xml:space="preserve">(19) 34262255</t>
  </si>
  <si>
    <t xml:space="preserve">nfeomgest@gmail.com</t>
  </si>
  <si>
    <t xml:space="preserve">MM SP DISTRIBUIDORA E COMERCIO ATACADISTA DE PRODUTOS LTDA</t>
  </si>
  <si>
    <t xml:space="preserve">20.977.899/0001-04</t>
  </si>
  <si>
    <t xml:space="preserve">SCARCELLI LOGISTICA E DISTRIBUICAO LTDA</t>
  </si>
  <si>
    <t xml:space="preserve">SCARCELLI LOGISTICA E DISTRIBUICAO EIRELI</t>
  </si>
  <si>
    <t xml:space="preserve">21.595.410/0001-00</t>
  </si>
  <si>
    <t xml:space="preserve">Avare</t>
  </si>
  <si>
    <t xml:space="preserve">(14) 37326705</t>
  </si>
  <si>
    <t xml:space="preserve">daniel@scarcelli.com.br</t>
  </si>
  <si>
    <t xml:space="preserve">MILFONT &amp; LEMOS LTDA</t>
  </si>
  <si>
    <t xml:space="preserve">ATIMIL</t>
  </si>
  <si>
    <t xml:space="preserve">22.416.412/0001-40</t>
  </si>
  <si>
    <t xml:space="preserve">Atibaia</t>
  </si>
  <si>
    <t xml:space="preserve">(11) 44118111</t>
  </si>
  <si>
    <t xml:space="preserve">contto@atimil.com.br</t>
  </si>
  <si>
    <t xml:space="preserve">ACQUALIVE SA</t>
  </si>
  <si>
    <t xml:space="preserve">24.745.873/0001-91</t>
  </si>
  <si>
    <t xml:space="preserve">(84) 99450035</t>
  </si>
  <si>
    <t xml:space="preserve">contabilidade@acqualive.com.br</t>
  </si>
  <si>
    <t xml:space="preserve">DISTRIBUIDORA DE EMBALAGENS E DESCARTAVEIS S.S. LTDA</t>
  </si>
  <si>
    <t xml:space="preserve">JL DISTRIBUIDORA DE EMBALAGENS E DESCARTAVEIS</t>
  </si>
  <si>
    <t xml:space="preserve">32.302.581/0001-02</t>
  </si>
  <si>
    <t xml:space="preserve">(15) 32295656</t>
  </si>
  <si>
    <t xml:space="preserve">isabela.ssdistribuidora@gmail.com</t>
  </si>
  <si>
    <t xml:space="preserve">INFINITE HOME IMPORTACAO, EXPORTACAO E DISTRIBUICAO DE MERCADORIAS EM GERAL LTDA</t>
  </si>
  <si>
    <t xml:space="preserve">INFINITE HOME</t>
  </si>
  <si>
    <t xml:space="preserve">34.728.104/0001-39</t>
  </si>
  <si>
    <t xml:space="preserve">(19) 34069920</t>
  </si>
  <si>
    <t xml:space="preserve">contato@infinitehome.com.br</t>
  </si>
  <si>
    <t xml:space="preserve">M &amp; M IMPORTADORA E DISTRIBUIDORA LTDA</t>
  </si>
  <si>
    <t xml:space="preserve">M &amp; M IMPORTADORA E DISTRIBUIDORA</t>
  </si>
  <si>
    <t xml:space="preserve">50.951.585/0001-01</t>
  </si>
  <si>
    <t xml:space="preserve">(11) 73762789</t>
  </si>
  <si>
    <t xml:space="preserve">marcelo.parolla@gmail.com</t>
  </si>
  <si>
    <t xml:space="preserve">COMERCIO DE PRESENTES PARI LTDA</t>
  </si>
  <si>
    <t xml:space="preserve">DU CHAPEU PRESENTES</t>
  </si>
  <si>
    <t xml:space="preserve">07.063.181/0003-06</t>
  </si>
  <si>
    <t xml:space="preserve">(11) 21265700</t>
  </si>
  <si>
    <t xml:space="preserve">financeiro@duchapeudistribuidora.com.br</t>
  </si>
  <si>
    <t xml:space="preserve">VISION PLASTIC SARON - COMERCIO DE ARTIGOS PLASTICOS LTDA</t>
  </si>
  <si>
    <t xml:space="preserve">57.644.684/0001-81</t>
  </si>
  <si>
    <t xml:space="preserve">Araras</t>
  </si>
  <si>
    <t xml:space="preserve">(19) 35414351</t>
  </si>
  <si>
    <t xml:space="preserve">escritorioalvarez@terra.com.br</t>
  </si>
  <si>
    <t xml:space="preserve">PURIFICAR COMERCIO DE UTILIDADES DOMESTICAS LTDA</t>
  </si>
  <si>
    <t xml:space="preserve">PURIFICAR</t>
  </si>
  <si>
    <t xml:space="preserve">60.368.826/0001-30</t>
  </si>
  <si>
    <t xml:space="preserve">(11) 92299935</t>
  </si>
  <si>
    <t xml:space="preserve">marinho@purificarcomercio.com.br</t>
  </si>
  <si>
    <t xml:space="preserve">4649401 - Comércio atacadista de equipamentos elétricos de uso pessoal e doméstico</t>
  </si>
  <si>
    <t xml:space="preserve">G.D. COMERCIO DE PRODUTOS DE PAPELAO E PLASTICOS LTDA</t>
  </si>
  <si>
    <t xml:space="preserve">02.254.095/0001-03</t>
  </si>
  <si>
    <t xml:space="preserve">(15) 32611035</t>
  </si>
  <si>
    <t xml:space="preserve">contato@gadzembalagens.com.br</t>
  </si>
  <si>
    <t xml:space="preserve">PRESTES-MAIA COMERCIO DE EMBALAGENS DESCARTAVEIS LTDA</t>
  </si>
  <si>
    <t xml:space="preserve">PRESTES-MAIA EMBALAGENS</t>
  </si>
  <si>
    <t xml:space="preserve">03.657.123/0001-98</t>
  </si>
  <si>
    <t xml:space="preserve">(19) 32739042</t>
  </si>
  <si>
    <t xml:space="preserve">tesouraria@prestesmaiaembalagens.com</t>
  </si>
  <si>
    <t xml:space="preserve">DECOR HOME COMERCIAL LTDA</t>
  </si>
  <si>
    <t xml:space="preserve">DECOR HOME</t>
  </si>
  <si>
    <t xml:space="preserve">05.233.988/0001-52</t>
  </si>
  <si>
    <t xml:space="preserve">(19) 38523615</t>
  </si>
  <si>
    <t xml:space="preserve">decohome@uol.com.br</t>
  </si>
  <si>
    <t xml:space="preserve">NC PLASTICOS DESCARTAVEIS LTDA</t>
  </si>
  <si>
    <t xml:space="preserve">05.906.999/0001-56</t>
  </si>
  <si>
    <t xml:space="preserve">Nova Odessa</t>
  </si>
  <si>
    <t xml:space="preserve">(19) 34665515</t>
  </si>
  <si>
    <t xml:space="preserve">comercial@plastfood.com.br</t>
  </si>
  <si>
    <t xml:space="preserve">K.L.M. IMPORTACAO E EXPORTACAO DE PRODUTOS DE BAZAR E CONGENERES LTDA</t>
  </si>
  <si>
    <t xml:space="preserve">07.111.995/0001-07</t>
  </si>
  <si>
    <t xml:space="preserve">(11) 59088749</t>
  </si>
  <si>
    <t xml:space="preserve">contrato@fivestars.srv.br</t>
  </si>
  <si>
    <t xml:space="preserve">RDS DISTRIBUIDORA E ATACADISTA DE PRODUTOS PLASTICOS LTDA</t>
  </si>
  <si>
    <t xml:space="preserve">PLASTICOS ANDRADE</t>
  </si>
  <si>
    <t xml:space="preserve">08.639.085/0001-64</t>
  </si>
  <si>
    <t xml:space="preserve">(12) 36537007</t>
  </si>
  <si>
    <t xml:space="preserve">financeiro@andradeindustria.com.br</t>
  </si>
  <si>
    <t xml:space="preserve">CAMPO VERDE DISTRIBUIDORA DE PRODUTOS DE LIMPEZA E DESCARTAVEIS LTDA</t>
  </si>
  <si>
    <t xml:space="preserve">12.100.109/0001-80</t>
  </si>
  <si>
    <t xml:space="preserve">(11) 40391109</t>
  </si>
  <si>
    <t xml:space="preserve">escrimodelo@ol.com.br</t>
  </si>
  <si>
    <t xml:space="preserve">SLG COMERCIO ATACADISTA DE PRODUTOS DESCARTAVEIS E EMBALAGENS LTDA</t>
  </si>
  <si>
    <t xml:space="preserve">SLG COMERCIO DE EMBALAGENS</t>
  </si>
  <si>
    <t xml:space="preserve">12.235.952/0001-73</t>
  </si>
  <si>
    <t xml:space="preserve">Sumare</t>
  </si>
  <si>
    <t xml:space="preserve">(19) 99999999</t>
  </si>
  <si>
    <t xml:space="preserve">admcont276@gmail.com</t>
  </si>
  <si>
    <t xml:space="preserve">POTENCIA - COMERCIO ATACADISTA DE MATERIAIS DESCARTAVEIS LTDA</t>
  </si>
  <si>
    <t xml:space="preserve">12.992.490/0001-39</t>
  </si>
  <si>
    <t xml:space="preserve">Divinolandia</t>
  </si>
  <si>
    <t xml:space="preserve">(19) 36524282</t>
  </si>
  <si>
    <t xml:space="preserve">contcarvalho@bol.com.br</t>
  </si>
  <si>
    <t xml:space="preserve">ART HOUSE CERAMICA LTDA</t>
  </si>
  <si>
    <t xml:space="preserve">ART HOUSE CERAMICA</t>
  </si>
  <si>
    <t xml:space="preserve">13.917.325/0001-85</t>
  </si>
  <si>
    <t xml:space="preserve">(19) 35858673</t>
  </si>
  <si>
    <t xml:space="preserve">arthousef@outlook.com</t>
  </si>
  <si>
    <t xml:space="preserve">FC PLASTICOS DESCARTAVEIS LTDA</t>
  </si>
  <si>
    <t xml:space="preserve">14.378.199/0001-09</t>
  </si>
  <si>
    <t xml:space="preserve">adm@plastfood.com.br</t>
  </si>
  <si>
    <t xml:space="preserve">PLASTIC ATACADO LTDA</t>
  </si>
  <si>
    <t xml:space="preserve">15.292.595/0001-73</t>
  </si>
  <si>
    <t xml:space="preserve">(12) 41100432</t>
  </si>
  <si>
    <t xml:space="preserve">saulo280@hotmail.com</t>
  </si>
  <si>
    <t xml:space="preserve">UNIFORTE DO BRASIL COMERCIO ATACADISTA DE EMBALAGENS LTDA</t>
  </si>
  <si>
    <t xml:space="preserve">UNIFORTE DO BRASIL EMBALAGENS E DESCARTAVEIS</t>
  </si>
  <si>
    <t xml:space="preserve">17.026.490/0001-06</t>
  </si>
  <si>
    <t xml:space="preserve">Bom Jesus Dos Perdoes</t>
  </si>
  <si>
    <t xml:space="preserve">(11) 25751800</t>
  </si>
  <si>
    <t xml:space="preserve">paralegal9@mgcontecnica.com.br</t>
  </si>
  <si>
    <t xml:space="preserve">STEPHANIE FERREIRA DIAS &amp; CIA LTDA</t>
  </si>
  <si>
    <t xml:space="preserve">BIRA PRESENTES</t>
  </si>
  <si>
    <t xml:space="preserve">17.041.528/0001-01</t>
  </si>
  <si>
    <t xml:space="preserve">Aparecida</t>
  </si>
  <si>
    <t xml:space="preserve">(12) 31058082</t>
  </si>
  <si>
    <t xml:space="preserve">contabilmilton@uol.com.br</t>
  </si>
  <si>
    <t xml:space="preserve">FLEX PLUS COMERCIO DE PLASTICOS LTDA</t>
  </si>
  <si>
    <t xml:space="preserve">26.216.449/0001-85</t>
  </si>
  <si>
    <t xml:space="preserve">(11) 25912732</t>
  </si>
  <si>
    <t xml:space="preserve">adsystem@terra.com.br</t>
  </si>
  <si>
    <t xml:space="preserve">M E S DISTRIBUIDORA DE PRODUTOS PARA ARTESANATO E SERVICOS DE CONSULTORIA EMPRESARIAL LTDA</t>
  </si>
  <si>
    <t xml:space="preserve">M E S DISTRIBUIDORA DE PRODUTOS PARA ARTESANATO</t>
  </si>
  <si>
    <t xml:space="preserve">35.134.363/0001-02</t>
  </si>
  <si>
    <t xml:space="preserve">(16) 33741819</t>
  </si>
  <si>
    <t xml:space="preserve">sirbonedistribuidora@yahoo.com.br</t>
  </si>
  <si>
    <t xml:space="preserve">TERGU DISTRIBUICAO DE EQUIP COMERCIAL E DOMESTICO LTDA</t>
  </si>
  <si>
    <t xml:space="preserve">37.969.248/0001-75</t>
  </si>
  <si>
    <t xml:space="preserve">Itu</t>
  </si>
  <si>
    <t xml:space="preserve">(11) 40138060</t>
  </si>
  <si>
    <t xml:space="preserve">contato@gisacontabilidade.com.br</t>
  </si>
  <si>
    <t xml:space="preserve">REINO LAR DISTRIBUIDORA E REPRESENTACAO LTDA</t>
  </si>
  <si>
    <t xml:space="preserve">REINO LAR</t>
  </si>
  <si>
    <t xml:space="preserve">42.829.445/0001-29</t>
  </si>
  <si>
    <t xml:space="preserve">Ibiuna</t>
  </si>
  <si>
    <t xml:space="preserve">(15) 98425948</t>
  </si>
  <si>
    <t xml:space="preserve">dayaleo.tu@gmail.com</t>
  </si>
  <si>
    <t xml:space="preserve">INDALFA UTILIDADES PLASTICAS LTDA</t>
  </si>
  <si>
    <t xml:space="preserve">45.499.833/0001-87</t>
  </si>
  <si>
    <t xml:space="preserve">D &amp; F MONTENEGRO DISTRIBUIDORA LTDA</t>
  </si>
  <si>
    <t xml:space="preserve">CROCASE CD</t>
  </si>
  <si>
    <t xml:space="preserve">46.553.127/0001-39</t>
  </si>
  <si>
    <t xml:space="preserve">(11) 47183420</t>
  </si>
  <si>
    <t xml:space="preserve">dione-montenegro@hotmail.com</t>
  </si>
  <si>
    <t xml:space="preserve">GOIS DE LIMA COMERCIO ATACADISTA LTDA</t>
  </si>
  <si>
    <t xml:space="preserve">50.071.949/0001-50</t>
  </si>
  <si>
    <t xml:space="preserve">(19) 97782100</t>
  </si>
  <si>
    <t xml:space="preserve">goisdelimaadm@gmail.com</t>
  </si>
  <si>
    <t xml:space="preserve">VN ATACADO E VAREJO ECOMMERCE LTDA</t>
  </si>
  <si>
    <t xml:space="preserve">VN ATACADO E VAREJO</t>
  </si>
  <si>
    <t xml:space="preserve">50.779.991/0001-20</t>
  </si>
  <si>
    <t xml:space="preserve">(11) 99738737</t>
  </si>
  <si>
    <t xml:space="preserve">jeferpf@hotmail.com</t>
  </si>
  <si>
    <t xml:space="preserve">LF COMERCIO E DISTRIBUIDORA DE ARTIGOS DOMESTICOS LTDA</t>
  </si>
  <si>
    <t xml:space="preserve">52.667.815/0001-22</t>
  </si>
  <si>
    <t xml:space="preserve">(19) 38080000</t>
  </si>
  <si>
    <t xml:space="preserve">marymardega@hotmail.com.br</t>
  </si>
  <si>
    <t xml:space="preserve">CNPJ (raiz)</t>
  </si>
  <si>
    <t xml:space="preserve">Empresa</t>
  </si>
  <si>
    <t xml:space="preserve">Por que saiu</t>
  </si>
  <si>
    <t xml:space="preserve">01611823</t>
  </si>
  <si>
    <t xml:space="preserve">DISTRIBUIDORA MODENUTI COMERCIO DE UTENSILIOS DOMES LTD</t>
  </si>
  <si>
    <t xml:space="preserve">Já é cliente Nitron: Modenuti (ativo, R$ 9,1 mi)</t>
  </si>
  <si>
    <t xml:space="preserve">05951362</t>
  </si>
  <si>
    <t xml:space="preserve">CENTERLAR COMERCIO DE UTILIDADES LTDA</t>
  </si>
  <si>
    <t xml:space="preserve">Já é cliente Nitron: Centerlar (ativo, R$ 4,2 mi)</t>
  </si>
  <si>
    <t xml:space="preserve">04150555</t>
  </si>
  <si>
    <t xml:space="preserve">MILLENIUM UTILIDADES DOMESTICAS LTDA</t>
  </si>
  <si>
    <t xml:space="preserve">Já é cliente Nitron: Millenium (ativo, R$ 4,0 mi)</t>
  </si>
  <si>
    <t xml:space="preserve">11209781</t>
  </si>
  <si>
    <t xml:space="preserve">ABS DISTRIBUIDORA LTDA</t>
  </si>
  <si>
    <t xml:space="preserve">Já é cliente Nitron: ABS / Palmares (grupo ativo)</t>
  </si>
  <si>
    <t xml:space="preserve">26361858</t>
  </si>
  <si>
    <t xml:space="preserve">PAROLAR DISTRIBUIDORA DE UTENSILIOS DOMESTICOS LTDA</t>
  </si>
  <si>
    <t xml:space="preserve">Já é cliente Nitron: Parolar (ativo)</t>
  </si>
  <si>
    <t xml:space="preserve">04043178</t>
  </si>
  <si>
    <t xml:space="preserve">CORDEIROPOLIS UTILIDADES DOMESTICAS  LTDA</t>
  </si>
  <si>
    <t xml:space="preserve">Já é cliente Nitron: Cordeirópolis UD / Campineira (ativo)</t>
  </si>
  <si>
    <t xml:space="preserve">23030412</t>
  </si>
  <si>
    <t xml:space="preserve">GUARA COMERCIO DE UTLIDADES LTDA</t>
  </si>
  <si>
    <t xml:space="preserve">Já é cliente Nitron: Guará / Campineira (ativo)</t>
  </si>
  <si>
    <t xml:space="preserve">67742288</t>
  </si>
  <si>
    <t xml:space="preserve">SOROCA-ATACADAO DAS EMBALAGENS LTDA</t>
  </si>
  <si>
    <t xml:space="preserve">Já é cliente Nitron: Soroca 2 (em risco)</t>
  </si>
  <si>
    <t xml:space="preserve">01387543</t>
  </si>
  <si>
    <t xml:space="preserve">SPF DISTRIBUIDORA DE UTILIDADES DOMESTICAS LTDA</t>
  </si>
  <si>
    <t xml:space="preserve">Já é cliente Nitron: SPF (perdido, está na lista A)</t>
  </si>
  <si>
    <t xml:space="preserve">18377927</t>
  </si>
  <si>
    <t xml:space="preserve">PAULA CAROLINA ALVES UTILIDADES &amp; CIA LTDA</t>
  </si>
  <si>
    <t xml:space="preserve">Já é cliente Nitron: BBB Utilidades (perdido)</t>
  </si>
  <si>
    <t xml:space="preserve">52321224</t>
  </si>
  <si>
    <t xml:space="preserve">LISIANTO UTENSILIOS DOMESTICOS LTDA</t>
  </si>
  <si>
    <t xml:space="preserve">Parece loja de shopping (varejo)</t>
  </si>
  <si>
    <t xml:space="preserve">25301503</t>
  </si>
  <si>
    <t xml:space="preserve">TAJ HOME COMERCIO DE UTILIDADES IMPORTACAO E EXPORTACAO LTDA</t>
  </si>
  <si>
    <t xml:space="preserve">Foco em cama, mesa e banho/decoração</t>
  </si>
  <si>
    <t xml:space="preserve">52459079</t>
  </si>
  <si>
    <t xml:space="preserve">MB COMERCIO ATACADISTA DE UTILIDADE DOMESTICAS LTDA</t>
  </si>
  <si>
    <t xml:space="preserve">Parece fábrica (Plásticos MB): possível concorrente</t>
  </si>
  <si>
    <t xml:space="preserve">11903765</t>
  </si>
  <si>
    <t xml:space="preserve">BELLO COMERCIO E DISTRIBUICAO DE DESCARTAVEIS LTDA</t>
  </si>
  <si>
    <t xml:space="preserve">Ligada à Isoforma (fabricante de descartáveis)</t>
  </si>
  <si>
    <t xml:space="preserve">03640671</t>
  </si>
  <si>
    <t xml:space="preserve">PLASNEW UTILIDADES DOMESTICAS LTDA.</t>
  </si>
  <si>
    <t xml:space="preserve">Plasnew: fabricante/marca concorrente</t>
  </si>
  <si>
    <t xml:space="preserve">11071732</t>
  </si>
  <si>
    <t xml:space="preserve">SUPERPRO BETTANIN S.A.</t>
  </si>
  <si>
    <t xml:space="preserve">Bettanin: fabricante concorrente</t>
  </si>
  <si>
    <t xml:space="preserve">04381287</t>
  </si>
  <si>
    <t xml:space="preserve">ORDENE S/A</t>
  </si>
  <si>
    <t xml:space="preserve">Ordene: fabricante concorrente</t>
  </si>
  <si>
    <t xml:space="preserve">35548485</t>
  </si>
  <si>
    <t xml:space="preserve">QHOUSE COMERCIO E IMPORTADORA DE UTILIDADES DOMESTICAS LTDA</t>
  </si>
  <si>
    <t xml:space="preserve">Quality House: marca própria importada (concorrente)</t>
  </si>
  <si>
    <t xml:space="preserve">43670056</t>
  </si>
  <si>
    <t xml:space="preserve">CRESCI E PERDI SUPRIMENTOS LTDA</t>
  </si>
  <si>
    <t xml:space="preserve">Cresci e Perdi: franquia de usados, fora do perfil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</si>
</sst>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;\(#,##0\);\-"/>
    <numFmt numFmtId="167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COUNTA('30 distribuidoras'!B2:B31)</f>
        <v>30</v>
      </c>
    </row>
    <row r="6" customFormat="false" ht="15" hidden="false" customHeight="false" outlineLevel="0" collapsed="false">
      <c r="A6" s="4" t="s">
        <v>4</v>
      </c>
      <c r="B6" s="5" t="n">
        <f aca="false">COUNTIF('30 distribuidoras'!J2:J31,"?*")</f>
        <v>28</v>
      </c>
    </row>
    <row r="7" customFormat="false" ht="15" hidden="false" customHeight="false" outlineLevel="0" collapsed="false">
      <c r="A7" s="4" t="s">
        <v>5</v>
      </c>
      <c r="B7" s="5" t="n">
        <f aca="false">COUNTA('30 distribuidoras'!T2:T31)</f>
        <v>0</v>
      </c>
    </row>
    <row r="8" customFormat="false" ht="15" hidden="false" customHeight="false" outlineLevel="0" collapsed="false">
      <c r="A8" s="4" t="s">
        <v>6</v>
      </c>
      <c r="B8" s="5" t="n">
        <f aca="false">COUNTIF('30 distribuidoras'!S2:S31,"Pedido fechado")</f>
        <v>0</v>
      </c>
    </row>
    <row r="9" customFormat="false" ht="15" hidden="false" customHeight="false" outlineLevel="0" collapsed="false">
      <c r="A9" s="4" t="s">
        <v>7</v>
      </c>
      <c r="B9" s="6" t="n">
        <f aca="false">SUM('30 distribuidoras'!Z2:Z31)</f>
        <v>0</v>
      </c>
    </row>
    <row r="10" customFormat="false" ht="15" hidden="false" customHeight="false" outlineLevel="0" collapsed="false">
      <c r="A10" s="4" t="s">
        <v>8</v>
      </c>
      <c r="B10" s="5" t="n">
        <f aca="false">COUNTA('Reserva (não revisada)'!A2:A82)</f>
        <v>81</v>
      </c>
    </row>
    <row r="12" customFormat="false" ht="1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4" t="s">
        <v>10</v>
      </c>
      <c r="B13" s="5" t="s">
        <v>11</v>
      </c>
    </row>
    <row r="14" customFormat="false" ht="23.85" hidden="false" customHeight="false" outlineLevel="0" collapsed="false">
      <c r="A14" s="4" t="s">
        <v>12</v>
      </c>
      <c r="B14" s="5" t="s">
        <v>13</v>
      </c>
    </row>
    <row r="15" customFormat="false" ht="23.85" hidden="false" customHeight="false" outlineLevel="0" collapsed="false">
      <c r="A15" s="4" t="s">
        <v>14</v>
      </c>
      <c r="B15" s="5" t="s">
        <v>15</v>
      </c>
    </row>
    <row r="16" customFormat="false" ht="35.05" hidden="false" customHeight="false" outlineLevel="0" collapsed="false">
      <c r="A16" s="4" t="s">
        <v>16</v>
      </c>
      <c r="B16" s="5" t="s">
        <v>17</v>
      </c>
    </row>
    <row r="18" customFormat="false" ht="15" hidden="false" customHeight="false" outlineLevel="0" collapsed="false">
      <c r="A18" s="3" t="s">
        <v>18</v>
      </c>
    </row>
    <row r="19" customFormat="false" ht="23.85" hidden="false" customHeight="false" outlineLevel="0" collapsed="false">
      <c r="A19" s="4" t="s">
        <v>19</v>
      </c>
      <c r="B19" s="5" t="s">
        <v>20</v>
      </c>
    </row>
    <row r="20" customFormat="false" ht="23.85" hidden="false" customHeight="false" outlineLevel="0" collapsed="false">
      <c r="A20" s="4" t="s">
        <v>21</v>
      </c>
      <c r="B20" s="5" t="s">
        <v>22</v>
      </c>
    </row>
    <row r="21" customFormat="false" ht="23.85" hidden="false" customHeight="false" outlineLevel="0" collapsed="false">
      <c r="A21" s="4" t="s">
        <v>23</v>
      </c>
      <c r="B21" s="5" t="s">
        <v>24</v>
      </c>
    </row>
    <row r="23" customFormat="false" ht="15" hidden="false" customHeight="false" outlineLevel="0" collapsed="false">
      <c r="A23" s="3" t="s">
        <v>25</v>
      </c>
    </row>
    <row r="24" customFormat="false" ht="15" hidden="false" customHeight="false" outlineLevel="0" collapsed="false">
      <c r="A24" s="4" t="s">
        <v>26</v>
      </c>
      <c r="B24" s="5" t="s">
        <v>27</v>
      </c>
    </row>
    <row r="25" customFormat="false" ht="23.85" hidden="false" customHeight="false" outlineLevel="0" collapsed="false">
      <c r="A25" s="4" t="s">
        <v>28</v>
      </c>
      <c r="B25" s="5" t="s">
        <v>29</v>
      </c>
    </row>
    <row r="26" customFormat="false" ht="23.85" hidden="false" customHeight="false" outlineLevel="0" collapsed="false">
      <c r="A26" s="4" t="s">
        <v>30</v>
      </c>
      <c r="B26" s="5" t="s">
        <v>31</v>
      </c>
    </row>
    <row r="27" customFormat="false" ht="15" hidden="false" customHeight="false" outlineLevel="0" collapsed="false">
      <c r="A27" s="4" t="s">
        <v>32</v>
      </c>
      <c r="B27" s="5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9"/>
    <col collapsed="false" customWidth="true" hidden="false" outlineLevel="0" max="6" min="5" style="0" width="18"/>
    <col collapsed="false" customWidth="true" hidden="false" outlineLevel="0" max="7" min="7" style="0" width="36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1" min="10" style="0" width="15"/>
    <col collapsed="false" customWidth="true" hidden="false" outlineLevel="0" max="12" min="12" style="0" width="30"/>
    <col collapsed="false" customWidth="true" hidden="false" outlineLevel="0" max="13" min="13" style="0" width="40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46"/>
    <col collapsed="false" customWidth="true" hidden="false" outlineLevel="0" max="19" min="19" style="0" width="16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22"/>
    <col collapsed="false" customWidth="true" hidden="false" outlineLevel="0" max="23" min="23" style="0" width="18"/>
    <col collapsed="false" customWidth="true" hidden="false" outlineLevel="0" max="24" min="24" style="0" width="26"/>
    <col collapsed="false" customWidth="true" hidden="false" outlineLevel="0" max="25" min="25" style="0" width="28"/>
    <col collapsed="false" customWidth="true" hidden="false" outlineLevel="0" max="26" min="26" style="0" width="14"/>
  </cols>
  <sheetData>
    <row r="1" customFormat="false" ht="31.5" hidden="false" customHeight="tru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  <c r="L1" s="7" t="s">
        <v>45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16</v>
      </c>
      <c r="R1" s="7" t="s">
        <v>50</v>
      </c>
      <c r="S1" s="7" t="s">
        <v>51</v>
      </c>
      <c r="T1" s="7" t="s">
        <v>52</v>
      </c>
      <c r="U1" s="7" t="s">
        <v>53</v>
      </c>
      <c r="V1" s="7" t="s">
        <v>54</v>
      </c>
      <c r="W1" s="7" t="s">
        <v>55</v>
      </c>
      <c r="X1" s="7" t="s">
        <v>56</v>
      </c>
      <c r="Y1" s="7" t="s">
        <v>57</v>
      </c>
      <c r="Z1" s="7" t="s">
        <v>58</v>
      </c>
    </row>
    <row r="2" customFormat="false" ht="35.05" hidden="false" customHeight="false" outlineLevel="0" collapsed="false">
      <c r="A2" s="8" t="n">
        <v>1</v>
      </c>
      <c r="B2" s="9" t="s">
        <v>59</v>
      </c>
      <c r="C2" s="9" t="s">
        <v>60</v>
      </c>
      <c r="D2" s="8" t="s">
        <v>61</v>
      </c>
      <c r="E2" s="8" t="s">
        <v>62</v>
      </c>
      <c r="F2" s="8" t="s">
        <v>63</v>
      </c>
      <c r="G2" s="9" t="s">
        <v>64</v>
      </c>
      <c r="H2" s="8" t="s">
        <v>65</v>
      </c>
      <c r="I2" s="8" t="s">
        <v>66</v>
      </c>
      <c r="J2" s="8" t="s">
        <v>67</v>
      </c>
      <c r="K2" s="8"/>
      <c r="L2" s="8" t="s">
        <v>68</v>
      </c>
      <c r="M2" s="9" t="s">
        <v>69</v>
      </c>
      <c r="N2" s="8" t="s">
        <v>70</v>
      </c>
      <c r="O2" s="10" t="n">
        <v>1200000</v>
      </c>
      <c r="P2" s="8" t="n">
        <v>25</v>
      </c>
      <c r="Q2" s="8" t="n">
        <v>10</v>
      </c>
      <c r="R2" s="9" t="s">
        <v>71</v>
      </c>
      <c r="S2" s="11" t="s">
        <v>72</v>
      </c>
      <c r="T2" s="12"/>
      <c r="U2" s="11"/>
      <c r="V2" s="11"/>
      <c r="W2" s="11"/>
      <c r="X2" s="13"/>
      <c r="Y2" s="13"/>
      <c r="Z2" s="14"/>
    </row>
    <row r="3" customFormat="false" ht="35.05" hidden="false" customHeight="false" outlineLevel="0" collapsed="false">
      <c r="A3" s="8" t="n">
        <v>2</v>
      </c>
      <c r="B3" s="9" t="s">
        <v>73</v>
      </c>
      <c r="C3" s="9" t="s">
        <v>74</v>
      </c>
      <c r="D3" s="8" t="s">
        <v>75</v>
      </c>
      <c r="E3" s="8" t="s">
        <v>76</v>
      </c>
      <c r="F3" s="8" t="s">
        <v>77</v>
      </c>
      <c r="G3" s="9" t="s">
        <v>78</v>
      </c>
      <c r="H3" s="8" t="s">
        <v>79</v>
      </c>
      <c r="I3" s="8" t="s">
        <v>80</v>
      </c>
      <c r="J3" s="8" t="s">
        <v>81</v>
      </c>
      <c r="K3" s="8"/>
      <c r="L3" s="8" t="s">
        <v>82</v>
      </c>
      <c r="M3" s="9" t="s">
        <v>69</v>
      </c>
      <c r="N3" s="8" t="s">
        <v>70</v>
      </c>
      <c r="O3" s="10" t="n">
        <v>10000</v>
      </c>
      <c r="P3" s="8" t="n">
        <v>16</v>
      </c>
      <c r="Q3" s="8" t="n">
        <v>10</v>
      </c>
      <c r="R3" s="9" t="s">
        <v>83</v>
      </c>
      <c r="S3" s="11" t="s">
        <v>72</v>
      </c>
      <c r="T3" s="12"/>
      <c r="U3" s="11"/>
      <c r="V3" s="11"/>
      <c r="W3" s="11"/>
      <c r="X3" s="13"/>
      <c r="Y3" s="13"/>
      <c r="Z3" s="14"/>
    </row>
    <row r="4" customFormat="false" ht="35.05" hidden="false" customHeight="false" outlineLevel="0" collapsed="false">
      <c r="A4" s="8" t="n">
        <v>3</v>
      </c>
      <c r="B4" s="9" t="s">
        <v>84</v>
      </c>
      <c r="C4" s="9"/>
      <c r="D4" s="8" t="s">
        <v>85</v>
      </c>
      <c r="E4" s="8" t="s">
        <v>86</v>
      </c>
      <c r="F4" s="8" t="s">
        <v>87</v>
      </c>
      <c r="G4" s="9" t="s">
        <v>88</v>
      </c>
      <c r="H4" s="8" t="s">
        <v>89</v>
      </c>
      <c r="I4" s="8" t="s">
        <v>90</v>
      </c>
      <c r="J4" s="8" t="s">
        <v>91</v>
      </c>
      <c r="K4" s="8"/>
      <c r="L4" s="8" t="s">
        <v>92</v>
      </c>
      <c r="M4" s="9" t="s">
        <v>93</v>
      </c>
      <c r="N4" s="8" t="s">
        <v>70</v>
      </c>
      <c r="O4" s="10" t="n">
        <v>20000</v>
      </c>
      <c r="P4" s="8" t="n">
        <v>47</v>
      </c>
      <c r="Q4" s="8" t="n">
        <v>9</v>
      </c>
      <c r="R4" s="9" t="s">
        <v>94</v>
      </c>
      <c r="S4" s="11" t="s">
        <v>72</v>
      </c>
      <c r="T4" s="12"/>
      <c r="U4" s="11"/>
      <c r="V4" s="11"/>
      <c r="W4" s="11"/>
      <c r="X4" s="13"/>
      <c r="Y4" s="13"/>
      <c r="Z4" s="14"/>
    </row>
    <row r="5" customFormat="false" ht="35.05" hidden="false" customHeight="false" outlineLevel="0" collapsed="false">
      <c r="A5" s="8" t="n">
        <v>4</v>
      </c>
      <c r="B5" s="9" t="s">
        <v>95</v>
      </c>
      <c r="C5" s="9" t="s">
        <v>96</v>
      </c>
      <c r="D5" s="8" t="s">
        <v>97</v>
      </c>
      <c r="E5" s="8" t="s">
        <v>98</v>
      </c>
      <c r="F5" s="8" t="s">
        <v>87</v>
      </c>
      <c r="G5" s="9" t="s">
        <v>99</v>
      </c>
      <c r="H5" s="8" t="s">
        <v>100</v>
      </c>
      <c r="I5" s="8" t="s">
        <v>101</v>
      </c>
      <c r="J5" s="8" t="s">
        <v>102</v>
      </c>
      <c r="K5" s="8"/>
      <c r="L5" s="8" t="s">
        <v>103</v>
      </c>
      <c r="M5" s="9" t="s">
        <v>69</v>
      </c>
      <c r="N5" s="8" t="s">
        <v>70</v>
      </c>
      <c r="O5" s="10" t="n">
        <v>93700</v>
      </c>
      <c r="P5" s="8" t="n">
        <v>17</v>
      </c>
      <c r="Q5" s="8" t="n">
        <v>9</v>
      </c>
      <c r="R5" s="9" t="s">
        <v>104</v>
      </c>
      <c r="S5" s="11" t="s">
        <v>72</v>
      </c>
      <c r="T5" s="12"/>
      <c r="U5" s="11"/>
      <c r="V5" s="11"/>
      <c r="W5" s="11"/>
      <c r="X5" s="13"/>
      <c r="Y5" s="13"/>
      <c r="Z5" s="14"/>
    </row>
    <row r="6" customFormat="false" ht="35.05" hidden="false" customHeight="false" outlineLevel="0" collapsed="false">
      <c r="A6" s="8" t="n">
        <v>5</v>
      </c>
      <c r="B6" s="9" t="s">
        <v>105</v>
      </c>
      <c r="C6" s="9"/>
      <c r="D6" s="8" t="s">
        <v>106</v>
      </c>
      <c r="E6" s="8" t="s">
        <v>107</v>
      </c>
      <c r="F6" s="8" t="s">
        <v>87</v>
      </c>
      <c r="G6" s="9" t="s">
        <v>108</v>
      </c>
      <c r="H6" s="8" t="s">
        <v>109</v>
      </c>
      <c r="I6" s="8" t="s">
        <v>110</v>
      </c>
      <c r="J6" s="8" t="s">
        <v>111</v>
      </c>
      <c r="K6" s="8"/>
      <c r="L6" s="8"/>
      <c r="M6" s="9" t="s">
        <v>69</v>
      </c>
      <c r="N6" s="8" t="s">
        <v>112</v>
      </c>
      <c r="O6" s="10" t="n">
        <v>30000</v>
      </c>
      <c r="P6" s="8" t="n">
        <v>25</v>
      </c>
      <c r="Q6" s="8" t="n">
        <v>9</v>
      </c>
      <c r="R6" s="9"/>
      <c r="S6" s="11" t="s">
        <v>72</v>
      </c>
      <c r="T6" s="12"/>
      <c r="U6" s="11"/>
      <c r="V6" s="11"/>
      <c r="W6" s="11"/>
      <c r="X6" s="13"/>
      <c r="Y6" s="13"/>
      <c r="Z6" s="14"/>
    </row>
    <row r="7" customFormat="false" ht="35.05" hidden="false" customHeight="false" outlineLevel="0" collapsed="false">
      <c r="A7" s="8" t="n">
        <v>6</v>
      </c>
      <c r="B7" s="9" t="s">
        <v>113</v>
      </c>
      <c r="C7" s="9"/>
      <c r="D7" s="8" t="s">
        <v>114</v>
      </c>
      <c r="E7" s="8" t="s">
        <v>115</v>
      </c>
      <c r="F7" s="8" t="s">
        <v>116</v>
      </c>
      <c r="G7" s="9" t="s">
        <v>117</v>
      </c>
      <c r="H7" s="8" t="s">
        <v>118</v>
      </c>
      <c r="I7" s="8" t="s">
        <v>119</v>
      </c>
      <c r="J7" s="8" t="s">
        <v>120</v>
      </c>
      <c r="K7" s="8"/>
      <c r="L7" s="8" t="s">
        <v>121</v>
      </c>
      <c r="M7" s="9" t="s">
        <v>69</v>
      </c>
      <c r="N7" s="8" t="s">
        <v>112</v>
      </c>
      <c r="O7" s="10" t="n">
        <v>0</v>
      </c>
      <c r="P7" s="8" t="n">
        <v>23</v>
      </c>
      <c r="Q7" s="8" t="n">
        <v>9</v>
      </c>
      <c r="R7" s="9" t="s">
        <v>122</v>
      </c>
      <c r="S7" s="11" t="s">
        <v>72</v>
      </c>
      <c r="T7" s="12"/>
      <c r="U7" s="11"/>
      <c r="V7" s="11"/>
      <c r="W7" s="11"/>
      <c r="X7" s="13"/>
      <c r="Y7" s="13"/>
      <c r="Z7" s="14"/>
    </row>
    <row r="8" customFormat="false" ht="23.85" hidden="false" customHeight="false" outlineLevel="0" collapsed="false">
      <c r="A8" s="8" t="n">
        <v>7</v>
      </c>
      <c r="B8" s="9" t="s">
        <v>123</v>
      </c>
      <c r="C8" s="9"/>
      <c r="D8" s="8" t="s">
        <v>124</v>
      </c>
      <c r="E8" s="8" t="s">
        <v>125</v>
      </c>
      <c r="F8" s="8" t="s">
        <v>116</v>
      </c>
      <c r="G8" s="9" t="s">
        <v>126</v>
      </c>
      <c r="H8" s="8" t="s">
        <v>127</v>
      </c>
      <c r="I8" s="8" t="s">
        <v>128</v>
      </c>
      <c r="J8" s="8" t="s">
        <v>129</v>
      </c>
      <c r="K8" s="8"/>
      <c r="L8" s="8" t="s">
        <v>130</v>
      </c>
      <c r="M8" s="9" t="s">
        <v>131</v>
      </c>
      <c r="N8" s="8" t="s">
        <v>70</v>
      </c>
      <c r="O8" s="10" t="n">
        <v>200000</v>
      </c>
      <c r="P8" s="8" t="n">
        <v>21</v>
      </c>
      <c r="Q8" s="8" t="n">
        <v>8</v>
      </c>
      <c r="R8" s="9"/>
      <c r="S8" s="11" t="s">
        <v>72</v>
      </c>
      <c r="T8" s="12"/>
      <c r="U8" s="11"/>
      <c r="V8" s="11"/>
      <c r="W8" s="11"/>
      <c r="X8" s="13"/>
      <c r="Y8" s="13"/>
      <c r="Z8" s="14"/>
    </row>
    <row r="9" customFormat="false" ht="35.05" hidden="false" customHeight="false" outlineLevel="0" collapsed="false">
      <c r="A9" s="8" t="n">
        <v>8</v>
      </c>
      <c r="B9" s="9" t="s">
        <v>132</v>
      </c>
      <c r="C9" s="9"/>
      <c r="D9" s="8" t="s">
        <v>133</v>
      </c>
      <c r="E9" s="8" t="s">
        <v>134</v>
      </c>
      <c r="F9" s="8" t="s">
        <v>87</v>
      </c>
      <c r="G9" s="9" t="s">
        <v>135</v>
      </c>
      <c r="H9" s="8" t="s">
        <v>136</v>
      </c>
      <c r="I9" s="8" t="s">
        <v>137</v>
      </c>
      <c r="J9" s="8" t="s">
        <v>138</v>
      </c>
      <c r="K9" s="8"/>
      <c r="L9" s="8" t="s">
        <v>139</v>
      </c>
      <c r="M9" s="9" t="s">
        <v>69</v>
      </c>
      <c r="N9" s="8" t="s">
        <v>70</v>
      </c>
      <c r="O9" s="10" t="n">
        <v>1545000</v>
      </c>
      <c r="P9" s="8" t="n">
        <v>13</v>
      </c>
      <c r="Q9" s="8" t="n">
        <v>8</v>
      </c>
      <c r="R9" s="9" t="s">
        <v>140</v>
      </c>
      <c r="S9" s="11" t="s">
        <v>72</v>
      </c>
      <c r="T9" s="12"/>
      <c r="U9" s="11"/>
      <c r="V9" s="11"/>
      <c r="W9" s="11"/>
      <c r="X9" s="13"/>
      <c r="Y9" s="13"/>
      <c r="Z9" s="14"/>
    </row>
    <row r="10" customFormat="false" ht="35.05" hidden="false" customHeight="false" outlineLevel="0" collapsed="false">
      <c r="A10" s="8" t="n">
        <v>9</v>
      </c>
      <c r="B10" s="9" t="s">
        <v>141</v>
      </c>
      <c r="C10" s="9"/>
      <c r="D10" s="8" t="s">
        <v>142</v>
      </c>
      <c r="E10" s="8" t="s">
        <v>143</v>
      </c>
      <c r="F10" s="8" t="s">
        <v>63</v>
      </c>
      <c r="G10" s="9" t="s">
        <v>144</v>
      </c>
      <c r="H10" s="8" t="s">
        <v>145</v>
      </c>
      <c r="I10" s="8" t="s">
        <v>146</v>
      </c>
      <c r="J10" s="8" t="s">
        <v>147</v>
      </c>
      <c r="K10" s="8"/>
      <c r="L10" s="8" t="s">
        <v>148</v>
      </c>
      <c r="M10" s="9" t="s">
        <v>69</v>
      </c>
      <c r="N10" s="8" t="s">
        <v>112</v>
      </c>
      <c r="O10" s="10" t="n">
        <v>10000</v>
      </c>
      <c r="P10" s="8" t="n">
        <v>6</v>
      </c>
      <c r="Q10" s="8" t="n">
        <v>8</v>
      </c>
      <c r="R10" s="9"/>
      <c r="S10" s="11" t="s">
        <v>72</v>
      </c>
      <c r="T10" s="12"/>
      <c r="U10" s="11"/>
      <c r="V10" s="11"/>
      <c r="W10" s="11"/>
      <c r="X10" s="13"/>
      <c r="Y10" s="13"/>
      <c r="Z10" s="14"/>
    </row>
    <row r="11" customFormat="false" ht="35.05" hidden="false" customHeight="false" outlineLevel="0" collapsed="false">
      <c r="A11" s="8" t="n">
        <v>10</v>
      </c>
      <c r="B11" s="9" t="s">
        <v>149</v>
      </c>
      <c r="C11" s="9"/>
      <c r="D11" s="8" t="s">
        <v>150</v>
      </c>
      <c r="E11" s="8" t="s">
        <v>151</v>
      </c>
      <c r="F11" s="8" t="s">
        <v>152</v>
      </c>
      <c r="G11" s="9" t="s">
        <v>153</v>
      </c>
      <c r="H11" s="8" t="s">
        <v>154</v>
      </c>
      <c r="I11" s="8" t="s">
        <v>155</v>
      </c>
      <c r="J11" s="8" t="s">
        <v>156</v>
      </c>
      <c r="K11" s="8"/>
      <c r="L11" s="8" t="s">
        <v>157</v>
      </c>
      <c r="M11" s="9" t="s">
        <v>69</v>
      </c>
      <c r="N11" s="8" t="s">
        <v>70</v>
      </c>
      <c r="O11" s="10" t="n">
        <v>88000</v>
      </c>
      <c r="P11" s="8" t="n">
        <v>15</v>
      </c>
      <c r="Q11" s="8" t="n">
        <v>7</v>
      </c>
      <c r="R11" s="9" t="s">
        <v>140</v>
      </c>
      <c r="S11" s="11" t="s">
        <v>72</v>
      </c>
      <c r="T11" s="12"/>
      <c r="U11" s="11"/>
      <c r="V11" s="11"/>
      <c r="W11" s="11"/>
      <c r="X11" s="13"/>
      <c r="Y11" s="13"/>
      <c r="Z11" s="14"/>
    </row>
    <row r="12" customFormat="false" ht="35.05" hidden="false" customHeight="false" outlineLevel="0" collapsed="false">
      <c r="A12" s="8" t="n">
        <v>11</v>
      </c>
      <c r="B12" s="9" t="s">
        <v>158</v>
      </c>
      <c r="C12" s="9" t="s">
        <v>159</v>
      </c>
      <c r="D12" s="8" t="s">
        <v>160</v>
      </c>
      <c r="E12" s="8" t="s">
        <v>161</v>
      </c>
      <c r="F12" s="8" t="s">
        <v>87</v>
      </c>
      <c r="G12" s="9" t="s">
        <v>162</v>
      </c>
      <c r="H12" s="8" t="s">
        <v>163</v>
      </c>
      <c r="I12" s="8" t="s">
        <v>164</v>
      </c>
      <c r="J12" s="8" t="s">
        <v>165</v>
      </c>
      <c r="K12" s="8"/>
      <c r="L12" s="8" t="s">
        <v>166</v>
      </c>
      <c r="M12" s="9" t="s">
        <v>69</v>
      </c>
      <c r="N12" s="8" t="s">
        <v>70</v>
      </c>
      <c r="O12" s="10" t="n">
        <v>500000</v>
      </c>
      <c r="P12" s="8" t="n">
        <v>10</v>
      </c>
      <c r="Q12" s="8" t="n">
        <v>7</v>
      </c>
      <c r="R12" s="9"/>
      <c r="S12" s="11" t="s">
        <v>72</v>
      </c>
      <c r="T12" s="12"/>
      <c r="U12" s="11"/>
      <c r="V12" s="11"/>
      <c r="W12" s="11"/>
      <c r="X12" s="13"/>
      <c r="Y12" s="13"/>
      <c r="Z12" s="14"/>
    </row>
    <row r="13" customFormat="false" ht="35.05" hidden="false" customHeight="false" outlineLevel="0" collapsed="false">
      <c r="A13" s="8" t="n">
        <v>12</v>
      </c>
      <c r="B13" s="9" t="s">
        <v>167</v>
      </c>
      <c r="C13" s="9" t="s">
        <v>168</v>
      </c>
      <c r="D13" s="8" t="s">
        <v>169</v>
      </c>
      <c r="E13" s="8" t="s">
        <v>170</v>
      </c>
      <c r="F13" s="8" t="s">
        <v>87</v>
      </c>
      <c r="G13" s="9" t="s">
        <v>171</v>
      </c>
      <c r="H13" s="8" t="s">
        <v>172</v>
      </c>
      <c r="I13" s="8" t="s">
        <v>173</v>
      </c>
      <c r="J13" s="8" t="s">
        <v>174</v>
      </c>
      <c r="K13" s="8"/>
      <c r="L13" s="8" t="s">
        <v>175</v>
      </c>
      <c r="M13" s="9" t="s">
        <v>69</v>
      </c>
      <c r="N13" s="8" t="s">
        <v>70</v>
      </c>
      <c r="O13" s="10" t="n">
        <v>80000</v>
      </c>
      <c r="P13" s="8" t="n">
        <v>10</v>
      </c>
      <c r="Q13" s="8" t="n">
        <v>7</v>
      </c>
      <c r="R13" s="9"/>
      <c r="S13" s="11" t="s">
        <v>72</v>
      </c>
      <c r="T13" s="12"/>
      <c r="U13" s="11"/>
      <c r="V13" s="11"/>
      <c r="W13" s="11"/>
      <c r="X13" s="13"/>
      <c r="Y13" s="13"/>
      <c r="Z13" s="14"/>
    </row>
    <row r="14" customFormat="false" ht="35.05" hidden="false" customHeight="false" outlineLevel="0" collapsed="false">
      <c r="A14" s="8" t="n">
        <v>13</v>
      </c>
      <c r="B14" s="9" t="s">
        <v>176</v>
      </c>
      <c r="C14" s="9"/>
      <c r="D14" s="8" t="s">
        <v>177</v>
      </c>
      <c r="E14" s="8" t="s">
        <v>178</v>
      </c>
      <c r="F14" s="8" t="s">
        <v>179</v>
      </c>
      <c r="G14" s="9" t="s">
        <v>180</v>
      </c>
      <c r="H14" s="8" t="s">
        <v>181</v>
      </c>
      <c r="I14" s="8" t="s">
        <v>182</v>
      </c>
      <c r="J14" s="8" t="s">
        <v>183</v>
      </c>
      <c r="K14" s="8"/>
      <c r="L14" s="8" t="s">
        <v>184</v>
      </c>
      <c r="M14" s="9" t="s">
        <v>69</v>
      </c>
      <c r="N14" s="8" t="s">
        <v>70</v>
      </c>
      <c r="O14" s="10" t="n">
        <v>300000</v>
      </c>
      <c r="P14" s="8" t="n">
        <v>9</v>
      </c>
      <c r="Q14" s="8" t="n">
        <v>7</v>
      </c>
      <c r="R14" s="9" t="s">
        <v>185</v>
      </c>
      <c r="S14" s="11" t="s">
        <v>72</v>
      </c>
      <c r="T14" s="12"/>
      <c r="U14" s="11"/>
      <c r="V14" s="11"/>
      <c r="W14" s="11"/>
      <c r="X14" s="13"/>
      <c r="Y14" s="13"/>
      <c r="Z14" s="14"/>
    </row>
    <row r="15" customFormat="false" ht="35.05" hidden="false" customHeight="false" outlineLevel="0" collapsed="false">
      <c r="A15" s="8" t="n">
        <v>14</v>
      </c>
      <c r="B15" s="9" t="s">
        <v>186</v>
      </c>
      <c r="C15" s="9"/>
      <c r="D15" s="8" t="s">
        <v>187</v>
      </c>
      <c r="E15" s="8" t="s">
        <v>188</v>
      </c>
      <c r="F15" s="8" t="s">
        <v>77</v>
      </c>
      <c r="G15" s="9" t="s">
        <v>189</v>
      </c>
      <c r="H15" s="8" t="s">
        <v>190</v>
      </c>
      <c r="I15" s="8" t="s">
        <v>191</v>
      </c>
      <c r="J15" s="8" t="s">
        <v>192</v>
      </c>
      <c r="K15" s="8" t="s">
        <v>193</v>
      </c>
      <c r="L15" s="8" t="s">
        <v>194</v>
      </c>
      <c r="M15" s="9" t="s">
        <v>69</v>
      </c>
      <c r="N15" s="8" t="s">
        <v>112</v>
      </c>
      <c r="O15" s="10" t="n">
        <v>49000</v>
      </c>
      <c r="P15" s="8" t="n">
        <v>25</v>
      </c>
      <c r="Q15" s="8" t="n">
        <v>7</v>
      </c>
      <c r="R15" s="9"/>
      <c r="S15" s="11" t="s">
        <v>72</v>
      </c>
      <c r="T15" s="12"/>
      <c r="U15" s="11"/>
      <c r="V15" s="11"/>
      <c r="W15" s="11"/>
      <c r="X15" s="13"/>
      <c r="Y15" s="13"/>
      <c r="Z15" s="14"/>
    </row>
    <row r="16" customFormat="false" ht="35.05" hidden="false" customHeight="false" outlineLevel="0" collapsed="false">
      <c r="A16" s="8" t="n">
        <v>15</v>
      </c>
      <c r="B16" s="9" t="s">
        <v>195</v>
      </c>
      <c r="C16" s="9"/>
      <c r="D16" s="8" t="s">
        <v>196</v>
      </c>
      <c r="E16" s="8" t="s">
        <v>197</v>
      </c>
      <c r="F16" s="8" t="s">
        <v>87</v>
      </c>
      <c r="G16" s="9" t="s">
        <v>198</v>
      </c>
      <c r="H16" s="8" t="s">
        <v>199</v>
      </c>
      <c r="I16" s="8" t="s">
        <v>200</v>
      </c>
      <c r="J16" s="8" t="s">
        <v>201</v>
      </c>
      <c r="K16" s="8"/>
      <c r="L16" s="8" t="s">
        <v>202</v>
      </c>
      <c r="M16" s="9" t="s">
        <v>69</v>
      </c>
      <c r="N16" s="8" t="s">
        <v>112</v>
      </c>
      <c r="O16" s="10" t="n">
        <v>20000</v>
      </c>
      <c r="P16" s="8" t="n">
        <v>20</v>
      </c>
      <c r="Q16" s="8" t="n">
        <v>7</v>
      </c>
      <c r="R16" s="9" t="s">
        <v>203</v>
      </c>
      <c r="S16" s="11" t="s">
        <v>72</v>
      </c>
      <c r="T16" s="12"/>
      <c r="U16" s="11"/>
      <c r="V16" s="11"/>
      <c r="W16" s="11"/>
      <c r="X16" s="13"/>
      <c r="Y16" s="13"/>
      <c r="Z16" s="14"/>
    </row>
    <row r="17" customFormat="false" ht="35.05" hidden="false" customHeight="false" outlineLevel="0" collapsed="false">
      <c r="A17" s="8" t="n">
        <v>16</v>
      </c>
      <c r="B17" s="9" t="s">
        <v>204</v>
      </c>
      <c r="C17" s="9"/>
      <c r="D17" s="8" t="s">
        <v>205</v>
      </c>
      <c r="E17" s="8" t="s">
        <v>206</v>
      </c>
      <c r="F17" s="8" t="s">
        <v>77</v>
      </c>
      <c r="G17" s="9" t="s">
        <v>207</v>
      </c>
      <c r="H17" s="8" t="s">
        <v>208</v>
      </c>
      <c r="I17" s="8" t="s">
        <v>209</v>
      </c>
      <c r="J17" s="8" t="s">
        <v>210</v>
      </c>
      <c r="K17" s="8"/>
      <c r="L17" s="8" t="s">
        <v>211</v>
      </c>
      <c r="M17" s="9" t="s">
        <v>69</v>
      </c>
      <c r="N17" s="8" t="s">
        <v>112</v>
      </c>
      <c r="O17" s="10" t="n">
        <v>96000</v>
      </c>
      <c r="P17" s="8" t="n">
        <v>20</v>
      </c>
      <c r="Q17" s="8" t="n">
        <v>7</v>
      </c>
      <c r="R17" s="9"/>
      <c r="S17" s="11" t="s">
        <v>72</v>
      </c>
      <c r="T17" s="12"/>
      <c r="U17" s="11"/>
      <c r="V17" s="11"/>
      <c r="W17" s="11"/>
      <c r="X17" s="13"/>
      <c r="Y17" s="13"/>
      <c r="Z17" s="14"/>
    </row>
    <row r="18" customFormat="false" ht="35.05" hidden="false" customHeight="false" outlineLevel="0" collapsed="false">
      <c r="A18" s="8" t="n">
        <v>17</v>
      </c>
      <c r="B18" s="9" t="s">
        <v>212</v>
      </c>
      <c r="C18" s="9"/>
      <c r="D18" s="8" t="s">
        <v>213</v>
      </c>
      <c r="E18" s="8" t="s">
        <v>188</v>
      </c>
      <c r="F18" s="8" t="s">
        <v>77</v>
      </c>
      <c r="G18" s="9" t="s">
        <v>214</v>
      </c>
      <c r="H18" s="8" t="s">
        <v>215</v>
      </c>
      <c r="I18" s="8" t="s">
        <v>216</v>
      </c>
      <c r="J18" s="8" t="s">
        <v>217</v>
      </c>
      <c r="K18" s="8"/>
      <c r="L18" s="8" t="s">
        <v>218</v>
      </c>
      <c r="M18" s="9" t="s">
        <v>69</v>
      </c>
      <c r="N18" s="8" t="s">
        <v>112</v>
      </c>
      <c r="O18" s="10" t="n">
        <v>300000</v>
      </c>
      <c r="P18" s="8" t="n">
        <v>15</v>
      </c>
      <c r="Q18" s="8" t="n">
        <v>7</v>
      </c>
      <c r="R18" s="9" t="s">
        <v>140</v>
      </c>
      <c r="S18" s="11" t="s">
        <v>72</v>
      </c>
      <c r="T18" s="12"/>
      <c r="U18" s="11"/>
      <c r="V18" s="11"/>
      <c r="W18" s="11"/>
      <c r="X18" s="13"/>
      <c r="Y18" s="13"/>
      <c r="Z18" s="14"/>
    </row>
    <row r="19" customFormat="false" ht="35.05" hidden="false" customHeight="false" outlineLevel="0" collapsed="false">
      <c r="A19" s="8" t="n">
        <v>18</v>
      </c>
      <c r="B19" s="9" t="s">
        <v>219</v>
      </c>
      <c r="C19" s="9"/>
      <c r="D19" s="8" t="s">
        <v>220</v>
      </c>
      <c r="E19" s="8" t="s">
        <v>98</v>
      </c>
      <c r="F19" s="8" t="s">
        <v>87</v>
      </c>
      <c r="G19" s="9" t="s">
        <v>221</v>
      </c>
      <c r="H19" s="8" t="s">
        <v>222</v>
      </c>
      <c r="I19" s="8" t="s">
        <v>223</v>
      </c>
      <c r="J19" s="8" t="s">
        <v>224</v>
      </c>
      <c r="K19" s="8" t="s">
        <v>224</v>
      </c>
      <c r="L19" s="8" t="s">
        <v>225</v>
      </c>
      <c r="M19" s="9" t="s">
        <v>69</v>
      </c>
      <c r="N19" s="8" t="s">
        <v>70</v>
      </c>
      <c r="O19" s="10" t="n">
        <v>11600000</v>
      </c>
      <c r="P19" s="8" t="n">
        <v>17</v>
      </c>
      <c r="Q19" s="8" t="n">
        <v>6</v>
      </c>
      <c r="R19" s="9" t="s">
        <v>226</v>
      </c>
      <c r="S19" s="11" t="s">
        <v>72</v>
      </c>
      <c r="T19" s="12"/>
      <c r="U19" s="11"/>
      <c r="V19" s="11"/>
      <c r="W19" s="11"/>
      <c r="X19" s="13"/>
      <c r="Y19" s="13"/>
      <c r="Z19" s="14"/>
    </row>
    <row r="20" customFormat="false" ht="35.05" hidden="false" customHeight="false" outlineLevel="0" collapsed="false">
      <c r="A20" s="8" t="n">
        <v>19</v>
      </c>
      <c r="B20" s="9" t="s">
        <v>227</v>
      </c>
      <c r="C20" s="9" t="s">
        <v>228</v>
      </c>
      <c r="D20" s="8" t="s">
        <v>229</v>
      </c>
      <c r="E20" s="8" t="s">
        <v>197</v>
      </c>
      <c r="F20" s="8" t="s">
        <v>87</v>
      </c>
      <c r="G20" s="9" t="s">
        <v>230</v>
      </c>
      <c r="H20" s="8" t="s">
        <v>231</v>
      </c>
      <c r="I20" s="8" t="s">
        <v>232</v>
      </c>
      <c r="J20" s="8"/>
      <c r="K20" s="8"/>
      <c r="L20" s="8" t="s">
        <v>233</v>
      </c>
      <c r="M20" s="9" t="s">
        <v>69</v>
      </c>
      <c r="N20" s="8" t="s">
        <v>112</v>
      </c>
      <c r="O20" s="10" t="n">
        <v>54000</v>
      </c>
      <c r="P20" s="8" t="n">
        <v>30</v>
      </c>
      <c r="Q20" s="8" t="n">
        <v>6</v>
      </c>
      <c r="R20" s="9" t="s">
        <v>234</v>
      </c>
      <c r="S20" s="11" t="s">
        <v>72</v>
      </c>
      <c r="T20" s="12"/>
      <c r="U20" s="11"/>
      <c r="V20" s="11"/>
      <c r="W20" s="11"/>
      <c r="X20" s="13"/>
      <c r="Y20" s="13"/>
      <c r="Z20" s="14"/>
    </row>
    <row r="21" customFormat="false" ht="35.05" hidden="false" customHeight="false" outlineLevel="0" collapsed="false">
      <c r="A21" s="8" t="n">
        <v>20</v>
      </c>
      <c r="B21" s="9" t="s">
        <v>235</v>
      </c>
      <c r="C21" s="9"/>
      <c r="D21" s="8" t="s">
        <v>236</v>
      </c>
      <c r="E21" s="8" t="s">
        <v>178</v>
      </c>
      <c r="F21" s="8" t="s">
        <v>179</v>
      </c>
      <c r="G21" s="9" t="s">
        <v>237</v>
      </c>
      <c r="H21" s="8" t="s">
        <v>238</v>
      </c>
      <c r="I21" s="8" t="s">
        <v>239</v>
      </c>
      <c r="J21" s="8"/>
      <c r="K21" s="8"/>
      <c r="L21" s="8"/>
      <c r="M21" s="9" t="s">
        <v>69</v>
      </c>
      <c r="N21" s="8" t="s">
        <v>112</v>
      </c>
      <c r="O21" s="10" t="n">
        <v>50000</v>
      </c>
      <c r="P21" s="8" t="n">
        <v>25</v>
      </c>
      <c r="Q21" s="8" t="n">
        <v>6</v>
      </c>
      <c r="R21" s="9" t="s">
        <v>240</v>
      </c>
      <c r="S21" s="11" t="s">
        <v>72</v>
      </c>
      <c r="T21" s="12"/>
      <c r="U21" s="11"/>
      <c r="V21" s="11"/>
      <c r="W21" s="11"/>
      <c r="X21" s="13"/>
      <c r="Y21" s="13"/>
      <c r="Z21" s="14"/>
    </row>
    <row r="22" customFormat="false" ht="35.05" hidden="false" customHeight="false" outlineLevel="0" collapsed="false">
      <c r="A22" s="8" t="n">
        <v>21</v>
      </c>
      <c r="B22" s="9" t="s">
        <v>241</v>
      </c>
      <c r="C22" s="9"/>
      <c r="D22" s="8" t="s">
        <v>242</v>
      </c>
      <c r="E22" s="8" t="s">
        <v>243</v>
      </c>
      <c r="F22" s="8" t="s">
        <v>87</v>
      </c>
      <c r="G22" s="9" t="s">
        <v>244</v>
      </c>
      <c r="H22" s="8" t="s">
        <v>245</v>
      </c>
      <c r="I22" s="8" t="s">
        <v>246</v>
      </c>
      <c r="J22" s="8" t="s">
        <v>247</v>
      </c>
      <c r="K22" s="8"/>
      <c r="L22" s="8" t="s">
        <v>248</v>
      </c>
      <c r="M22" s="9" t="s">
        <v>69</v>
      </c>
      <c r="N22" s="8" t="s">
        <v>112</v>
      </c>
      <c r="O22" s="10" t="n">
        <v>10000</v>
      </c>
      <c r="P22" s="8" t="n">
        <v>16</v>
      </c>
      <c r="Q22" s="8" t="n">
        <v>6</v>
      </c>
      <c r="R22" s="9" t="s">
        <v>140</v>
      </c>
      <c r="S22" s="11" t="s">
        <v>72</v>
      </c>
      <c r="T22" s="12"/>
      <c r="U22" s="11"/>
      <c r="V22" s="11"/>
      <c r="W22" s="11"/>
      <c r="X22" s="13"/>
      <c r="Y22" s="13"/>
      <c r="Z22" s="14"/>
    </row>
    <row r="23" customFormat="false" ht="35.05" hidden="false" customHeight="false" outlineLevel="0" collapsed="false">
      <c r="A23" s="8" t="n">
        <v>22</v>
      </c>
      <c r="B23" s="9" t="s">
        <v>249</v>
      </c>
      <c r="C23" s="9" t="s">
        <v>250</v>
      </c>
      <c r="D23" s="8" t="s">
        <v>251</v>
      </c>
      <c r="E23" s="8" t="s">
        <v>252</v>
      </c>
      <c r="F23" s="8" t="s">
        <v>77</v>
      </c>
      <c r="G23" s="9" t="s">
        <v>253</v>
      </c>
      <c r="H23" s="8" t="s">
        <v>254</v>
      </c>
      <c r="I23" s="8" t="s">
        <v>255</v>
      </c>
      <c r="J23" s="8" t="s">
        <v>256</v>
      </c>
      <c r="K23" s="8"/>
      <c r="L23" s="8" t="s">
        <v>257</v>
      </c>
      <c r="M23" s="9" t="s">
        <v>69</v>
      </c>
      <c r="N23" s="8" t="s">
        <v>112</v>
      </c>
      <c r="O23" s="10" t="n">
        <v>193700</v>
      </c>
      <c r="P23" s="8" t="n">
        <v>12</v>
      </c>
      <c r="Q23" s="8" t="n">
        <v>6</v>
      </c>
      <c r="R23" s="9"/>
      <c r="S23" s="11" t="s">
        <v>72</v>
      </c>
      <c r="T23" s="12"/>
      <c r="U23" s="11"/>
      <c r="V23" s="11"/>
      <c r="W23" s="11"/>
      <c r="X23" s="13"/>
      <c r="Y23" s="13"/>
      <c r="Z23" s="14"/>
    </row>
    <row r="24" customFormat="false" ht="35.05" hidden="false" customHeight="false" outlineLevel="0" collapsed="false">
      <c r="A24" s="8" t="n">
        <v>23</v>
      </c>
      <c r="B24" s="9" t="s">
        <v>258</v>
      </c>
      <c r="C24" s="9"/>
      <c r="D24" s="8" t="s">
        <v>259</v>
      </c>
      <c r="E24" s="8" t="s">
        <v>151</v>
      </c>
      <c r="F24" s="8" t="s">
        <v>152</v>
      </c>
      <c r="G24" s="9" t="s">
        <v>260</v>
      </c>
      <c r="H24" s="8" t="s">
        <v>261</v>
      </c>
      <c r="I24" s="8" t="s">
        <v>262</v>
      </c>
      <c r="J24" s="8" t="s">
        <v>263</v>
      </c>
      <c r="K24" s="8"/>
      <c r="L24" s="8" t="s">
        <v>264</v>
      </c>
      <c r="M24" s="9" t="s">
        <v>69</v>
      </c>
      <c r="N24" s="8" t="s">
        <v>112</v>
      </c>
      <c r="O24" s="10" t="n">
        <v>110000</v>
      </c>
      <c r="P24" s="8" t="n">
        <v>10</v>
      </c>
      <c r="Q24" s="8" t="n">
        <v>6</v>
      </c>
      <c r="R24" s="9"/>
      <c r="S24" s="11" t="s">
        <v>72</v>
      </c>
      <c r="T24" s="12"/>
      <c r="U24" s="11"/>
      <c r="V24" s="11"/>
      <c r="W24" s="11"/>
      <c r="X24" s="13"/>
      <c r="Y24" s="13"/>
      <c r="Z24" s="14"/>
    </row>
    <row r="25" customFormat="false" ht="35.05" hidden="false" customHeight="false" outlineLevel="0" collapsed="false">
      <c r="A25" s="8" t="n">
        <v>24</v>
      </c>
      <c r="B25" s="9" t="s">
        <v>265</v>
      </c>
      <c r="C25" s="9"/>
      <c r="D25" s="8" t="s">
        <v>266</v>
      </c>
      <c r="E25" s="8" t="s">
        <v>267</v>
      </c>
      <c r="F25" s="8" t="s">
        <v>152</v>
      </c>
      <c r="G25" s="9" t="s">
        <v>268</v>
      </c>
      <c r="H25" s="8" t="s">
        <v>269</v>
      </c>
      <c r="I25" s="8" t="s">
        <v>270</v>
      </c>
      <c r="J25" s="8" t="s">
        <v>271</v>
      </c>
      <c r="K25" s="8"/>
      <c r="L25" s="8" t="s">
        <v>272</v>
      </c>
      <c r="M25" s="9" t="s">
        <v>93</v>
      </c>
      <c r="N25" s="8" t="s">
        <v>112</v>
      </c>
      <c r="O25" s="10" t="n">
        <v>100000</v>
      </c>
      <c r="P25" s="8" t="n">
        <v>7</v>
      </c>
      <c r="Q25" s="8" t="n">
        <v>6</v>
      </c>
      <c r="R25" s="9"/>
      <c r="S25" s="11" t="s">
        <v>72</v>
      </c>
      <c r="T25" s="12"/>
      <c r="U25" s="11"/>
      <c r="V25" s="11"/>
      <c r="W25" s="11"/>
      <c r="X25" s="13"/>
      <c r="Y25" s="13"/>
      <c r="Z25" s="14"/>
    </row>
    <row r="26" customFormat="false" ht="35.05" hidden="false" customHeight="false" outlineLevel="0" collapsed="false">
      <c r="A26" s="8" t="n">
        <v>25</v>
      </c>
      <c r="B26" s="9" t="s">
        <v>273</v>
      </c>
      <c r="C26" s="9" t="s">
        <v>274</v>
      </c>
      <c r="D26" s="8" t="s">
        <v>275</v>
      </c>
      <c r="E26" s="8" t="s">
        <v>252</v>
      </c>
      <c r="F26" s="8" t="s">
        <v>77</v>
      </c>
      <c r="G26" s="9" t="s">
        <v>276</v>
      </c>
      <c r="H26" s="8" t="s">
        <v>277</v>
      </c>
      <c r="I26" s="8" t="s">
        <v>278</v>
      </c>
      <c r="J26" s="8" t="s">
        <v>279</v>
      </c>
      <c r="K26" s="8"/>
      <c r="L26" s="8" t="s">
        <v>280</v>
      </c>
      <c r="M26" s="9" t="s">
        <v>69</v>
      </c>
      <c r="N26" s="8" t="s">
        <v>112</v>
      </c>
      <c r="O26" s="10" t="n">
        <v>10000</v>
      </c>
      <c r="P26" s="8" t="n">
        <v>7</v>
      </c>
      <c r="Q26" s="8" t="n">
        <v>6</v>
      </c>
      <c r="R26" s="9"/>
      <c r="S26" s="11" t="s">
        <v>72</v>
      </c>
      <c r="T26" s="12"/>
      <c r="U26" s="11"/>
      <c r="V26" s="11"/>
      <c r="W26" s="11"/>
      <c r="X26" s="13"/>
      <c r="Y26" s="13"/>
      <c r="Z26" s="14"/>
    </row>
    <row r="27" customFormat="false" ht="35.05" hidden="false" customHeight="false" outlineLevel="0" collapsed="false">
      <c r="A27" s="8" t="n">
        <v>26</v>
      </c>
      <c r="B27" s="9" t="s">
        <v>281</v>
      </c>
      <c r="C27" s="9" t="s">
        <v>282</v>
      </c>
      <c r="D27" s="8" t="s">
        <v>283</v>
      </c>
      <c r="E27" s="8" t="s">
        <v>284</v>
      </c>
      <c r="F27" s="8" t="s">
        <v>77</v>
      </c>
      <c r="G27" s="9" t="s">
        <v>285</v>
      </c>
      <c r="H27" s="8" t="s">
        <v>286</v>
      </c>
      <c r="I27" s="8" t="s">
        <v>287</v>
      </c>
      <c r="J27" s="8" t="s">
        <v>288</v>
      </c>
      <c r="K27" s="8"/>
      <c r="L27" s="8" t="s">
        <v>289</v>
      </c>
      <c r="M27" s="9" t="s">
        <v>69</v>
      </c>
      <c r="N27" s="8" t="s">
        <v>112</v>
      </c>
      <c r="O27" s="10" t="n">
        <v>15000</v>
      </c>
      <c r="P27" s="8" t="n">
        <v>6</v>
      </c>
      <c r="Q27" s="8" t="n">
        <v>6</v>
      </c>
      <c r="R27" s="9"/>
      <c r="S27" s="11" t="s">
        <v>72</v>
      </c>
      <c r="T27" s="12"/>
      <c r="U27" s="11"/>
      <c r="V27" s="11"/>
      <c r="W27" s="11"/>
      <c r="X27" s="13"/>
      <c r="Y27" s="13"/>
      <c r="Z27" s="14"/>
    </row>
    <row r="28" customFormat="false" ht="35.05" hidden="false" customHeight="false" outlineLevel="0" collapsed="false">
      <c r="A28" s="8" t="n">
        <v>27</v>
      </c>
      <c r="B28" s="9" t="s">
        <v>290</v>
      </c>
      <c r="C28" s="9" t="s">
        <v>291</v>
      </c>
      <c r="D28" s="8" t="s">
        <v>292</v>
      </c>
      <c r="E28" s="8" t="s">
        <v>293</v>
      </c>
      <c r="F28" s="8" t="s">
        <v>63</v>
      </c>
      <c r="G28" s="9" t="s">
        <v>294</v>
      </c>
      <c r="H28" s="8" t="s">
        <v>295</v>
      </c>
      <c r="I28" s="8" t="s">
        <v>296</v>
      </c>
      <c r="J28" s="8" t="s">
        <v>297</v>
      </c>
      <c r="K28" s="8"/>
      <c r="L28" s="8" t="s">
        <v>298</v>
      </c>
      <c r="M28" s="9" t="s">
        <v>69</v>
      </c>
      <c r="N28" s="8" t="s">
        <v>112</v>
      </c>
      <c r="O28" s="10" t="n">
        <v>20000</v>
      </c>
      <c r="P28" s="8" t="n">
        <v>5</v>
      </c>
      <c r="Q28" s="8" t="n">
        <v>6</v>
      </c>
      <c r="R28" s="9"/>
      <c r="S28" s="11" t="s">
        <v>72</v>
      </c>
      <c r="T28" s="12"/>
      <c r="U28" s="11"/>
      <c r="V28" s="11"/>
      <c r="W28" s="11"/>
      <c r="X28" s="13"/>
      <c r="Y28" s="13"/>
      <c r="Z28" s="14"/>
    </row>
    <row r="29" customFormat="false" ht="35.05" hidden="false" customHeight="false" outlineLevel="0" collapsed="false">
      <c r="A29" s="8" t="n">
        <v>28</v>
      </c>
      <c r="B29" s="9" t="s">
        <v>299</v>
      </c>
      <c r="C29" s="9" t="s">
        <v>300</v>
      </c>
      <c r="D29" s="8" t="s">
        <v>301</v>
      </c>
      <c r="E29" s="8" t="s">
        <v>302</v>
      </c>
      <c r="F29" s="8" t="s">
        <v>63</v>
      </c>
      <c r="G29" s="9" t="s">
        <v>303</v>
      </c>
      <c r="H29" s="8" t="s">
        <v>304</v>
      </c>
      <c r="I29" s="8" t="s">
        <v>305</v>
      </c>
      <c r="J29" s="8" t="s">
        <v>306</v>
      </c>
      <c r="K29" s="8"/>
      <c r="L29" s="8" t="s">
        <v>307</v>
      </c>
      <c r="M29" s="9" t="s">
        <v>69</v>
      </c>
      <c r="N29" s="8" t="s">
        <v>112</v>
      </c>
      <c r="O29" s="10" t="n">
        <v>100000</v>
      </c>
      <c r="P29" s="8" t="n">
        <v>5</v>
      </c>
      <c r="Q29" s="8" t="n">
        <v>6</v>
      </c>
      <c r="R29" s="9" t="s">
        <v>140</v>
      </c>
      <c r="S29" s="11" t="s">
        <v>72</v>
      </c>
      <c r="T29" s="12"/>
      <c r="U29" s="11"/>
      <c r="V29" s="11"/>
      <c r="W29" s="11"/>
      <c r="X29" s="13"/>
      <c r="Y29" s="13"/>
      <c r="Z29" s="14"/>
    </row>
    <row r="30" customFormat="false" ht="46.25" hidden="false" customHeight="false" outlineLevel="0" collapsed="false">
      <c r="A30" s="8" t="n">
        <v>29</v>
      </c>
      <c r="B30" s="9" t="s">
        <v>308</v>
      </c>
      <c r="C30" s="9" t="s">
        <v>309</v>
      </c>
      <c r="D30" s="8" t="s">
        <v>310</v>
      </c>
      <c r="E30" s="8" t="s">
        <v>252</v>
      </c>
      <c r="F30" s="8" t="s">
        <v>77</v>
      </c>
      <c r="G30" s="9" t="s">
        <v>311</v>
      </c>
      <c r="H30" s="8" t="s">
        <v>254</v>
      </c>
      <c r="I30" s="8" t="s">
        <v>312</v>
      </c>
      <c r="J30" s="8" t="s">
        <v>313</v>
      </c>
      <c r="K30" s="8"/>
      <c r="L30" s="8" t="s">
        <v>314</v>
      </c>
      <c r="M30" s="9" t="s">
        <v>93</v>
      </c>
      <c r="N30" s="8" t="s">
        <v>70</v>
      </c>
      <c r="O30" s="10" t="n">
        <v>306000</v>
      </c>
      <c r="P30" s="8" t="n">
        <v>18</v>
      </c>
      <c r="Q30" s="8" t="n">
        <v>5</v>
      </c>
      <c r="R30" s="9" t="s">
        <v>315</v>
      </c>
      <c r="S30" s="11" t="s">
        <v>72</v>
      </c>
      <c r="T30" s="12"/>
      <c r="U30" s="11"/>
      <c r="V30" s="11"/>
      <c r="W30" s="11"/>
      <c r="X30" s="13"/>
      <c r="Y30" s="13"/>
      <c r="Z30" s="14"/>
    </row>
    <row r="31" customFormat="false" ht="35.05" hidden="false" customHeight="false" outlineLevel="0" collapsed="false">
      <c r="A31" s="8" t="n">
        <v>30</v>
      </c>
      <c r="B31" s="9" t="s">
        <v>316</v>
      </c>
      <c r="C31" s="9" t="s">
        <v>317</v>
      </c>
      <c r="D31" s="8" t="s">
        <v>318</v>
      </c>
      <c r="E31" s="8" t="s">
        <v>319</v>
      </c>
      <c r="F31" s="8" t="s">
        <v>179</v>
      </c>
      <c r="G31" s="9" t="s">
        <v>320</v>
      </c>
      <c r="H31" s="8" t="s">
        <v>321</v>
      </c>
      <c r="I31" s="8" t="s">
        <v>322</v>
      </c>
      <c r="J31" s="8" t="s">
        <v>323</v>
      </c>
      <c r="K31" s="8"/>
      <c r="L31" s="8" t="s">
        <v>324</v>
      </c>
      <c r="M31" s="9" t="s">
        <v>69</v>
      </c>
      <c r="N31" s="8" t="s">
        <v>112</v>
      </c>
      <c r="O31" s="10" t="n">
        <v>100000</v>
      </c>
      <c r="P31" s="8" t="n">
        <v>28</v>
      </c>
      <c r="Q31" s="8" t="n">
        <v>5</v>
      </c>
      <c r="R31" s="9" t="s">
        <v>325</v>
      </c>
      <c r="S31" s="11" t="s">
        <v>72</v>
      </c>
      <c r="T31" s="12"/>
      <c r="U31" s="11"/>
      <c r="V31" s="11"/>
      <c r="W31" s="11"/>
      <c r="X31" s="13"/>
      <c r="Y31" s="13"/>
      <c r="Z31" s="14"/>
    </row>
  </sheetData>
  <autoFilter ref="A1:Z31"/>
  <dataValidations count="1">
    <dataValidation allowBlank="true" errorStyle="stop" operator="between" showDropDown="false" showErrorMessage="false" showInputMessage="false" sqref="S2:S31" type="list">
      <formula1>"A contatar,Sem contato,Número errado,Em conversa,Cadastro enviado,Pedido fechado,Sem interesse,Não é distribuidor"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19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43</v>
      </c>
      <c r="G1" s="7" t="s">
        <v>45</v>
      </c>
      <c r="H1" s="7" t="s">
        <v>46</v>
      </c>
      <c r="I1" s="7" t="s">
        <v>47</v>
      </c>
      <c r="J1" s="7" t="s">
        <v>49</v>
      </c>
      <c r="K1" s="7" t="s">
        <v>16</v>
      </c>
    </row>
    <row r="2" customFormat="false" ht="35.05" hidden="false" customHeight="false" outlineLevel="0" collapsed="false">
      <c r="A2" s="9" t="s">
        <v>326</v>
      </c>
      <c r="B2" s="8" t="s">
        <v>327</v>
      </c>
      <c r="C2" s="8" t="s">
        <v>328</v>
      </c>
      <c r="D2" s="8" t="s">
        <v>329</v>
      </c>
      <c r="E2" s="8" t="s">
        <v>87</v>
      </c>
      <c r="F2" s="8" t="s">
        <v>330</v>
      </c>
      <c r="G2" s="8" t="s">
        <v>103</v>
      </c>
      <c r="H2" s="9" t="s">
        <v>69</v>
      </c>
      <c r="I2" s="8" t="s">
        <v>70</v>
      </c>
      <c r="J2" s="8" t="n">
        <v>41</v>
      </c>
      <c r="K2" s="8" t="n">
        <v>6</v>
      </c>
    </row>
    <row r="3" customFormat="false" ht="35.05" hidden="false" customHeight="false" outlineLevel="0" collapsed="false">
      <c r="A3" s="9" t="s">
        <v>331</v>
      </c>
      <c r="B3" s="8"/>
      <c r="C3" s="8" t="s">
        <v>332</v>
      </c>
      <c r="D3" s="8" t="s">
        <v>178</v>
      </c>
      <c r="E3" s="8" t="s">
        <v>179</v>
      </c>
      <c r="F3" s="8" t="s">
        <v>333</v>
      </c>
      <c r="G3" s="8" t="s">
        <v>334</v>
      </c>
      <c r="H3" s="9" t="s">
        <v>69</v>
      </c>
      <c r="I3" s="8" t="s">
        <v>70</v>
      </c>
      <c r="J3" s="8" t="n">
        <v>36</v>
      </c>
      <c r="K3" s="8" t="n">
        <v>6</v>
      </c>
    </row>
    <row r="4" customFormat="false" ht="35.05" hidden="false" customHeight="false" outlineLevel="0" collapsed="false">
      <c r="A4" s="9" t="s">
        <v>335</v>
      </c>
      <c r="B4" s="8" t="s">
        <v>336</v>
      </c>
      <c r="C4" s="8" t="s">
        <v>337</v>
      </c>
      <c r="D4" s="8" t="s">
        <v>252</v>
      </c>
      <c r="E4" s="8" t="s">
        <v>77</v>
      </c>
      <c r="F4" s="8" t="s">
        <v>338</v>
      </c>
      <c r="G4" s="8" t="s">
        <v>339</v>
      </c>
      <c r="H4" s="9" t="s">
        <v>69</v>
      </c>
      <c r="I4" s="8" t="s">
        <v>70</v>
      </c>
      <c r="J4" s="8" t="n">
        <v>32</v>
      </c>
      <c r="K4" s="8" t="n">
        <v>6</v>
      </c>
    </row>
    <row r="5" customFormat="false" ht="23.85" hidden="false" customHeight="false" outlineLevel="0" collapsed="false">
      <c r="A5" s="9" t="s">
        <v>340</v>
      </c>
      <c r="B5" s="8" t="s">
        <v>341</v>
      </c>
      <c r="C5" s="8" t="s">
        <v>342</v>
      </c>
      <c r="D5" s="8" t="s">
        <v>343</v>
      </c>
      <c r="E5" s="8" t="s">
        <v>152</v>
      </c>
      <c r="F5" s="8" t="s">
        <v>344</v>
      </c>
      <c r="G5" s="8" t="s">
        <v>345</v>
      </c>
      <c r="H5" s="9" t="s">
        <v>346</v>
      </c>
      <c r="I5" s="8" t="s">
        <v>70</v>
      </c>
      <c r="J5" s="8" t="n">
        <v>19</v>
      </c>
      <c r="K5" s="8" t="n">
        <v>6</v>
      </c>
    </row>
    <row r="6" customFormat="false" ht="23.85" hidden="false" customHeight="false" outlineLevel="0" collapsed="false">
      <c r="A6" s="9" t="s">
        <v>347</v>
      </c>
      <c r="B6" s="8" t="s">
        <v>348</v>
      </c>
      <c r="C6" s="8" t="s">
        <v>349</v>
      </c>
      <c r="D6" s="8" t="s">
        <v>350</v>
      </c>
      <c r="E6" s="8" t="s">
        <v>152</v>
      </c>
      <c r="F6" s="8" t="s">
        <v>351</v>
      </c>
      <c r="G6" s="8" t="s">
        <v>352</v>
      </c>
      <c r="H6" s="9" t="s">
        <v>353</v>
      </c>
      <c r="I6" s="8" t="s">
        <v>70</v>
      </c>
      <c r="J6" s="8" t="n">
        <v>16</v>
      </c>
      <c r="K6" s="8" t="n">
        <v>6</v>
      </c>
    </row>
    <row r="7" customFormat="false" ht="35.05" hidden="false" customHeight="false" outlineLevel="0" collapsed="false">
      <c r="A7" s="9" t="s">
        <v>354</v>
      </c>
      <c r="B7" s="8"/>
      <c r="C7" s="8" t="s">
        <v>355</v>
      </c>
      <c r="D7" s="8" t="s">
        <v>356</v>
      </c>
      <c r="E7" s="8" t="s">
        <v>87</v>
      </c>
      <c r="F7" s="8" t="s">
        <v>357</v>
      </c>
      <c r="G7" s="8" t="s">
        <v>358</v>
      </c>
      <c r="H7" s="9" t="s">
        <v>69</v>
      </c>
      <c r="I7" s="8" t="s">
        <v>70</v>
      </c>
      <c r="J7" s="8" t="n">
        <v>16</v>
      </c>
      <c r="K7" s="8" t="n">
        <v>6</v>
      </c>
    </row>
    <row r="8" customFormat="false" ht="35.05" hidden="false" customHeight="false" outlineLevel="0" collapsed="false">
      <c r="A8" s="9" t="s">
        <v>359</v>
      </c>
      <c r="B8" s="8"/>
      <c r="C8" s="8" t="s">
        <v>360</v>
      </c>
      <c r="D8" s="8" t="s">
        <v>361</v>
      </c>
      <c r="E8" s="8" t="s">
        <v>87</v>
      </c>
      <c r="F8" s="8" t="s">
        <v>362</v>
      </c>
      <c r="G8" s="8" t="s">
        <v>363</v>
      </c>
      <c r="H8" s="9" t="s">
        <v>69</v>
      </c>
      <c r="I8" s="8" t="s">
        <v>70</v>
      </c>
      <c r="J8" s="8" t="n">
        <v>15</v>
      </c>
      <c r="K8" s="8" t="n">
        <v>6</v>
      </c>
    </row>
    <row r="9" customFormat="false" ht="23.85" hidden="false" customHeight="false" outlineLevel="0" collapsed="false">
      <c r="A9" s="9" t="s">
        <v>364</v>
      </c>
      <c r="B9" s="8"/>
      <c r="C9" s="8" t="s">
        <v>365</v>
      </c>
      <c r="D9" s="8" t="s">
        <v>98</v>
      </c>
      <c r="E9" s="8" t="s">
        <v>87</v>
      </c>
      <c r="F9" s="8" t="s">
        <v>366</v>
      </c>
      <c r="G9" s="8" t="s">
        <v>367</v>
      </c>
      <c r="H9" s="9" t="s">
        <v>368</v>
      </c>
      <c r="I9" s="8" t="s">
        <v>70</v>
      </c>
      <c r="J9" s="8" t="n">
        <v>15</v>
      </c>
      <c r="K9" s="8" t="n">
        <v>6</v>
      </c>
    </row>
    <row r="10" customFormat="false" ht="35.05" hidden="false" customHeight="false" outlineLevel="0" collapsed="false">
      <c r="A10" s="9" t="s">
        <v>369</v>
      </c>
      <c r="B10" s="8" t="s">
        <v>370</v>
      </c>
      <c r="C10" s="8" t="s">
        <v>371</v>
      </c>
      <c r="D10" s="8" t="s">
        <v>243</v>
      </c>
      <c r="E10" s="8" t="s">
        <v>87</v>
      </c>
      <c r="F10" s="8" t="s">
        <v>372</v>
      </c>
      <c r="G10" s="8" t="s">
        <v>373</v>
      </c>
      <c r="H10" s="9" t="s">
        <v>69</v>
      </c>
      <c r="I10" s="8" t="s">
        <v>70</v>
      </c>
      <c r="J10" s="8" t="n">
        <v>14</v>
      </c>
      <c r="K10" s="8" t="n">
        <v>6</v>
      </c>
    </row>
    <row r="11" customFormat="false" ht="35.05" hidden="false" customHeight="false" outlineLevel="0" collapsed="false">
      <c r="A11" s="9" t="s">
        <v>374</v>
      </c>
      <c r="B11" s="8" t="s">
        <v>375</v>
      </c>
      <c r="C11" s="8" t="s">
        <v>376</v>
      </c>
      <c r="D11" s="8" t="s">
        <v>377</v>
      </c>
      <c r="E11" s="8" t="s">
        <v>87</v>
      </c>
      <c r="F11" s="8" t="s">
        <v>378</v>
      </c>
      <c r="G11" s="8" t="s">
        <v>379</v>
      </c>
      <c r="H11" s="9" t="s">
        <v>69</v>
      </c>
      <c r="I11" s="8" t="s">
        <v>70</v>
      </c>
      <c r="J11" s="8" t="n">
        <v>10</v>
      </c>
      <c r="K11" s="8" t="n">
        <v>6</v>
      </c>
    </row>
    <row r="12" customFormat="false" ht="35.05" hidden="false" customHeight="false" outlineLevel="0" collapsed="false">
      <c r="A12" s="9" t="s">
        <v>380</v>
      </c>
      <c r="B12" s="8"/>
      <c r="C12" s="8" t="s">
        <v>381</v>
      </c>
      <c r="D12" s="8" t="s">
        <v>382</v>
      </c>
      <c r="E12" s="8" t="s">
        <v>87</v>
      </c>
      <c r="F12" s="8" t="s">
        <v>383</v>
      </c>
      <c r="G12" s="8" t="s">
        <v>384</v>
      </c>
      <c r="H12" s="9" t="s">
        <v>69</v>
      </c>
      <c r="I12" s="8" t="s">
        <v>70</v>
      </c>
      <c r="J12" s="8" t="n">
        <v>8</v>
      </c>
      <c r="K12" s="8" t="n">
        <v>6</v>
      </c>
    </row>
    <row r="13" customFormat="false" ht="35.05" hidden="false" customHeight="false" outlineLevel="0" collapsed="false">
      <c r="A13" s="9" t="s">
        <v>385</v>
      </c>
      <c r="B13" s="8" t="s">
        <v>386</v>
      </c>
      <c r="C13" s="8" t="s">
        <v>387</v>
      </c>
      <c r="D13" s="8" t="s">
        <v>243</v>
      </c>
      <c r="E13" s="8" t="s">
        <v>87</v>
      </c>
      <c r="F13" s="8" t="s">
        <v>388</v>
      </c>
      <c r="G13" s="8" t="s">
        <v>389</v>
      </c>
      <c r="H13" s="9" t="s">
        <v>69</v>
      </c>
      <c r="I13" s="8" t="s">
        <v>112</v>
      </c>
      <c r="J13" s="8" t="n">
        <v>28</v>
      </c>
      <c r="K13" s="8" t="n">
        <v>6</v>
      </c>
    </row>
    <row r="14" customFormat="false" ht="35.05" hidden="false" customHeight="false" outlineLevel="0" collapsed="false">
      <c r="A14" s="9" t="s">
        <v>390</v>
      </c>
      <c r="B14" s="8"/>
      <c r="C14" s="8" t="s">
        <v>391</v>
      </c>
      <c r="D14" s="8" t="s">
        <v>302</v>
      </c>
      <c r="E14" s="8" t="s">
        <v>63</v>
      </c>
      <c r="F14" s="8" t="s">
        <v>392</v>
      </c>
      <c r="G14" s="8" t="s">
        <v>393</v>
      </c>
      <c r="H14" s="9" t="s">
        <v>69</v>
      </c>
      <c r="I14" s="8" t="s">
        <v>112</v>
      </c>
      <c r="J14" s="8" t="n">
        <v>17</v>
      </c>
      <c r="K14" s="8" t="n">
        <v>6</v>
      </c>
    </row>
    <row r="15" customFormat="false" ht="35.05" hidden="false" customHeight="false" outlineLevel="0" collapsed="false">
      <c r="A15" s="9" t="s">
        <v>394</v>
      </c>
      <c r="B15" s="8"/>
      <c r="C15" s="8" t="s">
        <v>395</v>
      </c>
      <c r="D15" s="8" t="s">
        <v>396</v>
      </c>
      <c r="E15" s="8" t="s">
        <v>152</v>
      </c>
      <c r="F15" s="8" t="s">
        <v>397</v>
      </c>
      <c r="G15" s="8" t="s">
        <v>398</v>
      </c>
      <c r="H15" s="9" t="s">
        <v>69</v>
      </c>
      <c r="I15" s="8" t="s">
        <v>112</v>
      </c>
      <c r="J15" s="8" t="n">
        <v>11</v>
      </c>
      <c r="K15" s="8" t="n">
        <v>6</v>
      </c>
    </row>
    <row r="16" customFormat="false" ht="35.05" hidden="false" customHeight="false" outlineLevel="0" collapsed="false">
      <c r="A16" s="9" t="s">
        <v>399</v>
      </c>
      <c r="B16" s="8"/>
      <c r="C16" s="8" t="s">
        <v>400</v>
      </c>
      <c r="D16" s="8" t="s">
        <v>252</v>
      </c>
      <c r="E16" s="8" t="s">
        <v>77</v>
      </c>
      <c r="F16" s="8" t="s">
        <v>401</v>
      </c>
      <c r="G16" s="8" t="s">
        <v>402</v>
      </c>
      <c r="H16" s="9" t="s">
        <v>69</v>
      </c>
      <c r="I16" s="8" t="s">
        <v>112</v>
      </c>
      <c r="J16" s="8" t="n">
        <v>9</v>
      </c>
      <c r="K16" s="8" t="n">
        <v>6</v>
      </c>
    </row>
    <row r="17" customFormat="false" ht="35.05" hidden="false" customHeight="false" outlineLevel="0" collapsed="false">
      <c r="A17" s="9" t="s">
        <v>403</v>
      </c>
      <c r="B17" s="8"/>
      <c r="C17" s="8" t="s">
        <v>404</v>
      </c>
      <c r="D17" s="8" t="s">
        <v>151</v>
      </c>
      <c r="E17" s="8" t="s">
        <v>152</v>
      </c>
      <c r="F17" s="8" t="s">
        <v>405</v>
      </c>
      <c r="G17" s="8" t="s">
        <v>406</v>
      </c>
      <c r="H17" s="9" t="s">
        <v>69</v>
      </c>
      <c r="I17" s="8" t="s">
        <v>112</v>
      </c>
      <c r="J17" s="8" t="n">
        <v>5</v>
      </c>
      <c r="K17" s="8" t="n">
        <v>6</v>
      </c>
    </row>
    <row r="18" customFormat="false" ht="35.05" hidden="false" customHeight="false" outlineLevel="0" collapsed="false">
      <c r="A18" s="9" t="s">
        <v>407</v>
      </c>
      <c r="B18" s="8" t="s">
        <v>408</v>
      </c>
      <c r="C18" s="8" t="s">
        <v>409</v>
      </c>
      <c r="D18" s="8" t="s">
        <v>243</v>
      </c>
      <c r="E18" s="8" t="s">
        <v>87</v>
      </c>
      <c r="F18" s="8" t="s">
        <v>410</v>
      </c>
      <c r="G18" s="8" t="s">
        <v>411</v>
      </c>
      <c r="H18" s="9" t="s">
        <v>69</v>
      </c>
      <c r="I18" s="8" t="s">
        <v>70</v>
      </c>
      <c r="J18" s="8" t="n">
        <v>42</v>
      </c>
      <c r="K18" s="8" t="n">
        <v>5</v>
      </c>
    </row>
    <row r="19" customFormat="false" ht="35.05" hidden="false" customHeight="false" outlineLevel="0" collapsed="false">
      <c r="A19" s="9" t="s">
        <v>412</v>
      </c>
      <c r="B19" s="8"/>
      <c r="C19" s="8" t="s">
        <v>413</v>
      </c>
      <c r="D19" s="8" t="s">
        <v>107</v>
      </c>
      <c r="E19" s="8" t="s">
        <v>87</v>
      </c>
      <c r="F19" s="8" t="s">
        <v>414</v>
      </c>
      <c r="G19" s="8" t="s">
        <v>415</v>
      </c>
      <c r="H19" s="9" t="s">
        <v>69</v>
      </c>
      <c r="I19" s="8" t="s">
        <v>70</v>
      </c>
      <c r="J19" s="8" t="n">
        <v>41</v>
      </c>
      <c r="K19" s="8" t="n">
        <v>5</v>
      </c>
    </row>
    <row r="20" customFormat="false" ht="35.05" hidden="false" customHeight="false" outlineLevel="0" collapsed="false">
      <c r="A20" s="9" t="s">
        <v>416</v>
      </c>
      <c r="B20" s="8"/>
      <c r="C20" s="8" t="s">
        <v>417</v>
      </c>
      <c r="D20" s="8" t="s">
        <v>418</v>
      </c>
      <c r="E20" s="8" t="s">
        <v>63</v>
      </c>
      <c r="F20" s="8"/>
      <c r="G20" s="8"/>
      <c r="H20" s="9" t="s">
        <v>419</v>
      </c>
      <c r="I20" s="8" t="s">
        <v>70</v>
      </c>
      <c r="J20" s="8" t="n">
        <v>40</v>
      </c>
      <c r="K20" s="8" t="n">
        <v>5</v>
      </c>
    </row>
    <row r="21" customFormat="false" ht="23.85" hidden="false" customHeight="false" outlineLevel="0" collapsed="false">
      <c r="A21" s="9" t="s">
        <v>420</v>
      </c>
      <c r="B21" s="8"/>
      <c r="C21" s="8" t="s">
        <v>421</v>
      </c>
      <c r="D21" s="8" t="s">
        <v>422</v>
      </c>
      <c r="E21" s="8" t="s">
        <v>179</v>
      </c>
      <c r="F21" s="8" t="s">
        <v>423</v>
      </c>
      <c r="G21" s="8"/>
      <c r="H21" s="9" t="s">
        <v>424</v>
      </c>
      <c r="I21" s="8" t="s">
        <v>70</v>
      </c>
      <c r="J21" s="8" t="n">
        <v>38</v>
      </c>
      <c r="K21" s="8" t="n">
        <v>5</v>
      </c>
    </row>
    <row r="22" customFormat="false" ht="35.05" hidden="false" customHeight="false" outlineLevel="0" collapsed="false">
      <c r="A22" s="9" t="s">
        <v>425</v>
      </c>
      <c r="B22" s="8"/>
      <c r="C22" s="8" t="s">
        <v>426</v>
      </c>
      <c r="D22" s="8" t="s">
        <v>427</v>
      </c>
      <c r="E22" s="8" t="s">
        <v>179</v>
      </c>
      <c r="F22" s="8" t="s">
        <v>428</v>
      </c>
      <c r="G22" s="8" t="s">
        <v>429</v>
      </c>
      <c r="H22" s="9" t="s">
        <v>430</v>
      </c>
      <c r="I22" s="8" t="s">
        <v>70</v>
      </c>
      <c r="J22" s="8" t="n">
        <v>36</v>
      </c>
      <c r="K22" s="8" t="n">
        <v>5</v>
      </c>
    </row>
    <row r="23" customFormat="false" ht="35.05" hidden="false" customHeight="false" outlineLevel="0" collapsed="false">
      <c r="A23" s="9" t="s">
        <v>431</v>
      </c>
      <c r="B23" s="8" t="s">
        <v>432</v>
      </c>
      <c r="C23" s="8" t="s">
        <v>433</v>
      </c>
      <c r="D23" s="8" t="s">
        <v>434</v>
      </c>
      <c r="E23" s="8" t="s">
        <v>87</v>
      </c>
      <c r="F23" s="8" t="s">
        <v>435</v>
      </c>
      <c r="G23" s="8" t="s">
        <v>436</v>
      </c>
      <c r="H23" s="9" t="s">
        <v>69</v>
      </c>
      <c r="I23" s="8" t="s">
        <v>70</v>
      </c>
      <c r="J23" s="8" t="n">
        <v>35</v>
      </c>
      <c r="K23" s="8" t="n">
        <v>5</v>
      </c>
    </row>
    <row r="24" customFormat="false" ht="35.05" hidden="false" customHeight="false" outlineLevel="0" collapsed="false">
      <c r="A24" s="9" t="s">
        <v>437</v>
      </c>
      <c r="B24" s="8" t="s">
        <v>438</v>
      </c>
      <c r="C24" s="8" t="s">
        <v>439</v>
      </c>
      <c r="D24" s="8" t="s">
        <v>243</v>
      </c>
      <c r="E24" s="8" t="s">
        <v>87</v>
      </c>
      <c r="F24" s="8" t="s">
        <v>440</v>
      </c>
      <c r="G24" s="8" t="s">
        <v>441</v>
      </c>
      <c r="H24" s="9" t="s">
        <v>419</v>
      </c>
      <c r="I24" s="8" t="s">
        <v>70</v>
      </c>
      <c r="J24" s="8" t="n">
        <v>32</v>
      </c>
      <c r="K24" s="8" t="n">
        <v>5</v>
      </c>
    </row>
    <row r="25" customFormat="false" ht="35.05" hidden="false" customHeight="false" outlineLevel="0" collapsed="false">
      <c r="A25" s="9" t="s">
        <v>442</v>
      </c>
      <c r="B25" s="8" t="s">
        <v>443</v>
      </c>
      <c r="C25" s="8" t="s">
        <v>444</v>
      </c>
      <c r="D25" s="8" t="s">
        <v>427</v>
      </c>
      <c r="E25" s="8" t="s">
        <v>179</v>
      </c>
      <c r="F25" s="8" t="s">
        <v>445</v>
      </c>
      <c r="G25" s="8" t="s">
        <v>446</v>
      </c>
      <c r="H25" s="9" t="s">
        <v>69</v>
      </c>
      <c r="I25" s="8" t="s">
        <v>70</v>
      </c>
      <c r="J25" s="8" t="n">
        <v>29</v>
      </c>
      <c r="K25" s="8" t="n">
        <v>5</v>
      </c>
    </row>
    <row r="26" customFormat="false" ht="35.05" hidden="false" customHeight="false" outlineLevel="0" collapsed="false">
      <c r="A26" s="9" t="s">
        <v>447</v>
      </c>
      <c r="B26" s="8"/>
      <c r="C26" s="8" t="s">
        <v>448</v>
      </c>
      <c r="D26" s="8" t="s">
        <v>449</v>
      </c>
      <c r="E26" s="8" t="s">
        <v>77</v>
      </c>
      <c r="F26" s="8" t="s">
        <v>450</v>
      </c>
      <c r="G26" s="8" t="s">
        <v>451</v>
      </c>
      <c r="H26" s="9" t="s">
        <v>69</v>
      </c>
      <c r="I26" s="8" t="s">
        <v>70</v>
      </c>
      <c r="J26" s="8" t="n">
        <v>28</v>
      </c>
      <c r="K26" s="8" t="n">
        <v>5</v>
      </c>
    </row>
    <row r="27" customFormat="false" ht="35.05" hidden="false" customHeight="false" outlineLevel="0" collapsed="false">
      <c r="A27" s="9" t="s">
        <v>452</v>
      </c>
      <c r="B27" s="8" t="s">
        <v>453</v>
      </c>
      <c r="C27" s="8" t="s">
        <v>454</v>
      </c>
      <c r="D27" s="8" t="s">
        <v>455</v>
      </c>
      <c r="E27" s="8" t="s">
        <v>179</v>
      </c>
      <c r="F27" s="8" t="s">
        <v>456</v>
      </c>
      <c r="G27" s="8" t="s">
        <v>457</v>
      </c>
      <c r="H27" s="9" t="s">
        <v>69</v>
      </c>
      <c r="I27" s="8" t="s">
        <v>70</v>
      </c>
      <c r="J27" s="8" t="n">
        <v>27</v>
      </c>
      <c r="K27" s="8" t="n">
        <v>5</v>
      </c>
    </row>
    <row r="28" customFormat="false" ht="23.85" hidden="false" customHeight="false" outlineLevel="0" collapsed="false">
      <c r="A28" s="9" t="s">
        <v>458</v>
      </c>
      <c r="B28" s="8" t="s">
        <v>459</v>
      </c>
      <c r="C28" s="8" t="s">
        <v>460</v>
      </c>
      <c r="D28" s="8" t="s">
        <v>461</v>
      </c>
      <c r="E28" s="8" t="s">
        <v>152</v>
      </c>
      <c r="F28" s="8" t="s">
        <v>462</v>
      </c>
      <c r="G28" s="8" t="s">
        <v>463</v>
      </c>
      <c r="H28" s="9" t="s">
        <v>131</v>
      </c>
      <c r="I28" s="8" t="s">
        <v>70</v>
      </c>
      <c r="J28" s="8" t="n">
        <v>26</v>
      </c>
      <c r="K28" s="8" t="n">
        <v>5</v>
      </c>
    </row>
    <row r="29" customFormat="false" ht="35.05" hidden="false" customHeight="false" outlineLevel="0" collapsed="false">
      <c r="A29" s="9" t="s">
        <v>464</v>
      </c>
      <c r="B29" s="8"/>
      <c r="C29" s="8" t="s">
        <v>465</v>
      </c>
      <c r="D29" s="8" t="s">
        <v>466</v>
      </c>
      <c r="E29" s="8" t="s">
        <v>87</v>
      </c>
      <c r="F29" s="8" t="s">
        <v>467</v>
      </c>
      <c r="G29" s="8" t="s">
        <v>468</v>
      </c>
      <c r="H29" s="9" t="s">
        <v>69</v>
      </c>
      <c r="I29" s="8" t="s">
        <v>70</v>
      </c>
      <c r="J29" s="8" t="n">
        <v>26</v>
      </c>
      <c r="K29" s="8" t="n">
        <v>5</v>
      </c>
    </row>
    <row r="30" customFormat="false" ht="35.05" hidden="false" customHeight="false" outlineLevel="0" collapsed="false">
      <c r="A30" s="9" t="s">
        <v>469</v>
      </c>
      <c r="B30" s="8" t="s">
        <v>470</v>
      </c>
      <c r="C30" s="8" t="s">
        <v>471</v>
      </c>
      <c r="D30" s="8" t="s">
        <v>243</v>
      </c>
      <c r="E30" s="8" t="s">
        <v>87</v>
      </c>
      <c r="F30" s="8" t="s">
        <v>472</v>
      </c>
      <c r="G30" s="8" t="s">
        <v>473</v>
      </c>
      <c r="H30" s="9" t="s">
        <v>69</v>
      </c>
      <c r="I30" s="8" t="s">
        <v>70</v>
      </c>
      <c r="J30" s="8" t="n">
        <v>26</v>
      </c>
      <c r="K30" s="8" t="n">
        <v>5</v>
      </c>
    </row>
    <row r="31" customFormat="false" ht="35.05" hidden="false" customHeight="false" outlineLevel="0" collapsed="false">
      <c r="A31" s="9" t="s">
        <v>474</v>
      </c>
      <c r="B31" s="8"/>
      <c r="C31" s="8" t="s">
        <v>475</v>
      </c>
      <c r="D31" s="8" t="s">
        <v>178</v>
      </c>
      <c r="E31" s="8" t="s">
        <v>179</v>
      </c>
      <c r="F31" s="8" t="s">
        <v>476</v>
      </c>
      <c r="G31" s="8" t="s">
        <v>477</v>
      </c>
      <c r="H31" s="9" t="s">
        <v>419</v>
      </c>
      <c r="I31" s="8" t="s">
        <v>70</v>
      </c>
      <c r="J31" s="8" t="n">
        <v>25</v>
      </c>
      <c r="K31" s="8" t="n">
        <v>5</v>
      </c>
    </row>
    <row r="32" customFormat="false" ht="35.05" hidden="false" customHeight="false" outlineLevel="0" collapsed="false">
      <c r="A32" s="9" t="s">
        <v>478</v>
      </c>
      <c r="B32" s="8" t="s">
        <v>479</v>
      </c>
      <c r="C32" s="8" t="s">
        <v>480</v>
      </c>
      <c r="D32" s="8" t="s">
        <v>98</v>
      </c>
      <c r="E32" s="8" t="s">
        <v>87</v>
      </c>
      <c r="F32" s="8" t="s">
        <v>481</v>
      </c>
      <c r="G32" s="8" t="s">
        <v>482</v>
      </c>
      <c r="H32" s="9" t="s">
        <v>69</v>
      </c>
      <c r="I32" s="8" t="s">
        <v>70</v>
      </c>
      <c r="J32" s="8" t="n">
        <v>23</v>
      </c>
      <c r="K32" s="8" t="n">
        <v>5</v>
      </c>
    </row>
    <row r="33" customFormat="false" ht="23.85" hidden="false" customHeight="false" outlineLevel="0" collapsed="false">
      <c r="A33" s="9" t="s">
        <v>483</v>
      </c>
      <c r="B33" s="8"/>
      <c r="C33" s="8" t="s">
        <v>484</v>
      </c>
      <c r="D33" s="8" t="s">
        <v>485</v>
      </c>
      <c r="E33" s="8" t="s">
        <v>63</v>
      </c>
      <c r="F33" s="8" t="s">
        <v>486</v>
      </c>
      <c r="G33" s="8" t="s">
        <v>487</v>
      </c>
      <c r="H33" s="9" t="s">
        <v>488</v>
      </c>
      <c r="I33" s="8" t="s">
        <v>70</v>
      </c>
      <c r="J33" s="8" t="n">
        <v>22</v>
      </c>
      <c r="K33" s="8" t="n">
        <v>5</v>
      </c>
    </row>
    <row r="34" customFormat="false" ht="35.05" hidden="false" customHeight="false" outlineLevel="0" collapsed="false">
      <c r="A34" s="9" t="s">
        <v>489</v>
      </c>
      <c r="B34" s="8"/>
      <c r="C34" s="8" t="s">
        <v>490</v>
      </c>
      <c r="D34" s="8" t="s">
        <v>170</v>
      </c>
      <c r="E34" s="8" t="s">
        <v>87</v>
      </c>
      <c r="F34" s="8" t="s">
        <v>491</v>
      </c>
      <c r="G34" s="8" t="s">
        <v>492</v>
      </c>
      <c r="H34" s="9" t="s">
        <v>69</v>
      </c>
      <c r="I34" s="8" t="s">
        <v>70</v>
      </c>
      <c r="J34" s="8" t="n">
        <v>21</v>
      </c>
      <c r="K34" s="8" t="n">
        <v>5</v>
      </c>
    </row>
    <row r="35" customFormat="false" ht="35.05" hidden="false" customHeight="false" outlineLevel="0" collapsed="false">
      <c r="A35" s="9" t="s">
        <v>493</v>
      </c>
      <c r="B35" s="8" t="s">
        <v>494</v>
      </c>
      <c r="C35" s="8" t="s">
        <v>495</v>
      </c>
      <c r="D35" s="8" t="s">
        <v>178</v>
      </c>
      <c r="E35" s="8" t="s">
        <v>179</v>
      </c>
      <c r="F35" s="8" t="s">
        <v>496</v>
      </c>
      <c r="G35" s="8" t="s">
        <v>497</v>
      </c>
      <c r="H35" s="9" t="s">
        <v>430</v>
      </c>
      <c r="I35" s="8" t="s">
        <v>70</v>
      </c>
      <c r="J35" s="8" t="n">
        <v>20</v>
      </c>
      <c r="K35" s="8" t="n">
        <v>5</v>
      </c>
    </row>
    <row r="36" customFormat="false" ht="35.05" hidden="false" customHeight="false" outlineLevel="0" collapsed="false">
      <c r="A36" s="9" t="s">
        <v>498</v>
      </c>
      <c r="B36" s="8"/>
      <c r="C36" s="8" t="s">
        <v>499</v>
      </c>
      <c r="D36" s="8" t="s">
        <v>461</v>
      </c>
      <c r="E36" s="8" t="s">
        <v>152</v>
      </c>
      <c r="F36" s="8" t="s">
        <v>500</v>
      </c>
      <c r="G36" s="8" t="s">
        <v>501</v>
      </c>
      <c r="H36" s="9" t="s">
        <v>502</v>
      </c>
      <c r="I36" s="8" t="s">
        <v>70</v>
      </c>
      <c r="J36" s="8" t="n">
        <v>19</v>
      </c>
      <c r="K36" s="8" t="n">
        <v>5</v>
      </c>
    </row>
    <row r="37" customFormat="false" ht="35.05" hidden="false" customHeight="false" outlineLevel="0" collapsed="false">
      <c r="A37" s="9" t="s">
        <v>503</v>
      </c>
      <c r="B37" s="8" t="s">
        <v>504</v>
      </c>
      <c r="C37" s="8" t="s">
        <v>505</v>
      </c>
      <c r="D37" s="8" t="s">
        <v>178</v>
      </c>
      <c r="E37" s="8" t="s">
        <v>179</v>
      </c>
      <c r="F37" s="8" t="s">
        <v>506</v>
      </c>
      <c r="G37" s="8" t="s">
        <v>507</v>
      </c>
      <c r="H37" s="9" t="s">
        <v>69</v>
      </c>
      <c r="I37" s="8" t="s">
        <v>70</v>
      </c>
      <c r="J37" s="8" t="n">
        <v>18</v>
      </c>
      <c r="K37" s="8" t="n">
        <v>5</v>
      </c>
    </row>
    <row r="38" customFormat="false" ht="23.85" hidden="false" customHeight="false" outlineLevel="0" collapsed="false">
      <c r="A38" s="9" t="s">
        <v>508</v>
      </c>
      <c r="B38" s="8" t="s">
        <v>509</v>
      </c>
      <c r="C38" s="8" t="s">
        <v>510</v>
      </c>
      <c r="D38" s="8" t="s">
        <v>302</v>
      </c>
      <c r="E38" s="8" t="s">
        <v>63</v>
      </c>
      <c r="F38" s="8" t="s">
        <v>511</v>
      </c>
      <c r="G38" s="8" t="s">
        <v>512</v>
      </c>
      <c r="H38" s="9" t="s">
        <v>424</v>
      </c>
      <c r="I38" s="8" t="s">
        <v>70</v>
      </c>
      <c r="J38" s="8" t="n">
        <v>17</v>
      </c>
      <c r="K38" s="8" t="n">
        <v>5</v>
      </c>
    </row>
    <row r="39" customFormat="false" ht="23.85" hidden="false" customHeight="false" outlineLevel="0" collapsed="false">
      <c r="A39" s="9" t="s">
        <v>513</v>
      </c>
      <c r="B39" s="8" t="s">
        <v>514</v>
      </c>
      <c r="C39" s="8" t="s">
        <v>515</v>
      </c>
      <c r="D39" s="8" t="s">
        <v>293</v>
      </c>
      <c r="E39" s="8" t="s">
        <v>63</v>
      </c>
      <c r="F39" s="8" t="s">
        <v>516</v>
      </c>
      <c r="G39" s="8" t="s">
        <v>517</v>
      </c>
      <c r="H39" s="9" t="s">
        <v>518</v>
      </c>
      <c r="I39" s="8" t="s">
        <v>70</v>
      </c>
      <c r="J39" s="8" t="n">
        <v>17</v>
      </c>
      <c r="K39" s="8" t="n">
        <v>5</v>
      </c>
    </row>
    <row r="40" customFormat="false" ht="35.05" hidden="false" customHeight="false" outlineLevel="0" collapsed="false">
      <c r="A40" s="9" t="s">
        <v>519</v>
      </c>
      <c r="B40" s="8" t="s">
        <v>520</v>
      </c>
      <c r="C40" s="8" t="s">
        <v>521</v>
      </c>
      <c r="D40" s="8" t="s">
        <v>243</v>
      </c>
      <c r="E40" s="8" t="s">
        <v>87</v>
      </c>
      <c r="F40" s="8" t="s">
        <v>522</v>
      </c>
      <c r="G40" s="8" t="s">
        <v>523</v>
      </c>
      <c r="H40" s="9" t="s">
        <v>93</v>
      </c>
      <c r="I40" s="8" t="s">
        <v>70</v>
      </c>
      <c r="J40" s="8" t="n">
        <v>17</v>
      </c>
      <c r="K40" s="8" t="n">
        <v>5</v>
      </c>
    </row>
    <row r="41" customFormat="false" ht="35.05" hidden="false" customHeight="false" outlineLevel="0" collapsed="false">
      <c r="A41" s="9" t="s">
        <v>524</v>
      </c>
      <c r="B41" s="8" t="s">
        <v>525</v>
      </c>
      <c r="C41" s="8" t="s">
        <v>526</v>
      </c>
      <c r="D41" s="8" t="s">
        <v>86</v>
      </c>
      <c r="E41" s="8" t="s">
        <v>87</v>
      </c>
      <c r="F41" s="8" t="s">
        <v>527</v>
      </c>
      <c r="G41" s="8" t="s">
        <v>528</v>
      </c>
      <c r="H41" s="9" t="s">
        <v>93</v>
      </c>
      <c r="I41" s="8" t="s">
        <v>70</v>
      </c>
      <c r="J41" s="8" t="n">
        <v>16</v>
      </c>
      <c r="K41" s="8" t="n">
        <v>5</v>
      </c>
    </row>
    <row r="42" customFormat="false" ht="35.05" hidden="false" customHeight="false" outlineLevel="0" collapsed="false">
      <c r="A42" s="9" t="s">
        <v>529</v>
      </c>
      <c r="B42" s="8" t="s">
        <v>530</v>
      </c>
      <c r="C42" s="8" t="s">
        <v>531</v>
      </c>
      <c r="D42" s="8" t="s">
        <v>243</v>
      </c>
      <c r="E42" s="8" t="s">
        <v>87</v>
      </c>
      <c r="F42" s="8" t="s">
        <v>532</v>
      </c>
      <c r="G42" s="8" t="s">
        <v>533</v>
      </c>
      <c r="H42" s="9" t="s">
        <v>69</v>
      </c>
      <c r="I42" s="8" t="s">
        <v>70</v>
      </c>
      <c r="J42" s="8" t="n">
        <v>16</v>
      </c>
      <c r="K42" s="8" t="n">
        <v>5</v>
      </c>
    </row>
    <row r="43" customFormat="false" ht="35.05" hidden="false" customHeight="false" outlineLevel="0" collapsed="false">
      <c r="A43" s="9" t="s">
        <v>534</v>
      </c>
      <c r="B43" s="8" t="s">
        <v>535</v>
      </c>
      <c r="C43" s="8" t="s">
        <v>536</v>
      </c>
      <c r="D43" s="8" t="s">
        <v>76</v>
      </c>
      <c r="E43" s="8" t="s">
        <v>77</v>
      </c>
      <c r="F43" s="8" t="s">
        <v>537</v>
      </c>
      <c r="G43" s="8" t="s">
        <v>538</v>
      </c>
      <c r="H43" s="9" t="s">
        <v>69</v>
      </c>
      <c r="I43" s="8" t="s">
        <v>70</v>
      </c>
      <c r="J43" s="8" t="n">
        <v>15</v>
      </c>
      <c r="K43" s="8" t="n">
        <v>5</v>
      </c>
    </row>
    <row r="44" customFormat="false" ht="23.85" hidden="false" customHeight="false" outlineLevel="0" collapsed="false">
      <c r="A44" s="9" t="s">
        <v>539</v>
      </c>
      <c r="B44" s="8" t="s">
        <v>540</v>
      </c>
      <c r="C44" s="8" t="s">
        <v>541</v>
      </c>
      <c r="D44" s="8" t="s">
        <v>542</v>
      </c>
      <c r="E44" s="8" t="s">
        <v>116</v>
      </c>
      <c r="F44" s="8" t="s">
        <v>543</v>
      </c>
      <c r="G44" s="8" t="s">
        <v>544</v>
      </c>
      <c r="H44" s="9" t="s">
        <v>545</v>
      </c>
      <c r="I44" s="8" t="s">
        <v>70</v>
      </c>
      <c r="J44" s="8" t="n">
        <v>13</v>
      </c>
      <c r="K44" s="8" t="n">
        <v>5</v>
      </c>
    </row>
    <row r="45" customFormat="false" ht="23.85" hidden="false" customHeight="false" outlineLevel="0" collapsed="false">
      <c r="A45" s="9" t="s">
        <v>546</v>
      </c>
      <c r="B45" s="8" t="s">
        <v>547</v>
      </c>
      <c r="C45" s="8" t="s">
        <v>548</v>
      </c>
      <c r="D45" s="8" t="s">
        <v>549</v>
      </c>
      <c r="E45" s="8" t="s">
        <v>87</v>
      </c>
      <c r="F45" s="8" t="s">
        <v>550</v>
      </c>
      <c r="G45" s="8" t="s">
        <v>551</v>
      </c>
      <c r="H45" s="9" t="s">
        <v>552</v>
      </c>
      <c r="I45" s="8" t="s">
        <v>70</v>
      </c>
      <c r="J45" s="8" t="n">
        <v>13</v>
      </c>
      <c r="K45" s="8" t="n">
        <v>5</v>
      </c>
    </row>
    <row r="46" customFormat="false" ht="23.85" hidden="false" customHeight="false" outlineLevel="0" collapsed="false">
      <c r="A46" s="9" t="s">
        <v>553</v>
      </c>
      <c r="B46" s="8" t="s">
        <v>554</v>
      </c>
      <c r="C46" s="8" t="s">
        <v>555</v>
      </c>
      <c r="D46" s="8" t="s">
        <v>98</v>
      </c>
      <c r="E46" s="8" t="s">
        <v>87</v>
      </c>
      <c r="F46" s="8" t="s">
        <v>556</v>
      </c>
      <c r="G46" s="8" t="s">
        <v>557</v>
      </c>
      <c r="H46" s="9" t="s">
        <v>424</v>
      </c>
      <c r="I46" s="8" t="s">
        <v>70</v>
      </c>
      <c r="J46" s="8" t="n">
        <v>13</v>
      </c>
      <c r="K46" s="8" t="n">
        <v>5</v>
      </c>
    </row>
    <row r="47" customFormat="false" ht="35.05" hidden="false" customHeight="false" outlineLevel="0" collapsed="false">
      <c r="A47" s="9" t="s">
        <v>558</v>
      </c>
      <c r="B47" s="8" t="s">
        <v>559</v>
      </c>
      <c r="C47" s="8" t="s">
        <v>560</v>
      </c>
      <c r="D47" s="8" t="s">
        <v>243</v>
      </c>
      <c r="E47" s="8" t="s">
        <v>87</v>
      </c>
      <c r="F47" s="8" t="s">
        <v>561</v>
      </c>
      <c r="G47" s="8" t="s">
        <v>562</v>
      </c>
      <c r="H47" s="9" t="s">
        <v>430</v>
      </c>
      <c r="I47" s="8" t="s">
        <v>70</v>
      </c>
      <c r="J47" s="8" t="n">
        <v>13</v>
      </c>
      <c r="K47" s="8" t="n">
        <v>5</v>
      </c>
    </row>
    <row r="48" customFormat="false" ht="15" hidden="false" customHeight="false" outlineLevel="0" collapsed="false">
      <c r="A48" s="9" t="s">
        <v>563</v>
      </c>
      <c r="B48" s="8" t="s">
        <v>564</v>
      </c>
      <c r="C48" s="8" t="s">
        <v>565</v>
      </c>
      <c r="D48" s="8" t="s">
        <v>566</v>
      </c>
      <c r="E48" s="8" t="s">
        <v>63</v>
      </c>
      <c r="F48" s="8" t="s">
        <v>567</v>
      </c>
      <c r="G48" s="8" t="s">
        <v>568</v>
      </c>
      <c r="H48" s="9" t="s">
        <v>353</v>
      </c>
      <c r="I48" s="8" t="s">
        <v>70</v>
      </c>
      <c r="J48" s="8" t="n">
        <v>13</v>
      </c>
      <c r="K48" s="8" t="n">
        <v>5</v>
      </c>
    </row>
    <row r="49" customFormat="false" ht="35.05" hidden="false" customHeight="false" outlineLevel="0" collapsed="false">
      <c r="A49" s="9" t="s">
        <v>569</v>
      </c>
      <c r="B49" s="8" t="s">
        <v>570</v>
      </c>
      <c r="C49" s="8" t="s">
        <v>571</v>
      </c>
      <c r="D49" s="8" t="s">
        <v>86</v>
      </c>
      <c r="E49" s="8" t="s">
        <v>87</v>
      </c>
      <c r="F49" s="8" t="s">
        <v>572</v>
      </c>
      <c r="G49" s="8" t="s">
        <v>573</v>
      </c>
      <c r="H49" s="9" t="s">
        <v>69</v>
      </c>
      <c r="I49" s="8" t="s">
        <v>70</v>
      </c>
      <c r="J49" s="8" t="n">
        <v>12</v>
      </c>
      <c r="K49" s="8" t="n">
        <v>5</v>
      </c>
    </row>
    <row r="50" customFormat="false" ht="35.05" hidden="false" customHeight="false" outlineLevel="0" collapsed="false">
      <c r="A50" s="9" t="s">
        <v>574</v>
      </c>
      <c r="B50" s="8"/>
      <c r="C50" s="8" t="s">
        <v>575</v>
      </c>
      <c r="D50" s="8" t="s">
        <v>243</v>
      </c>
      <c r="E50" s="8" t="s">
        <v>87</v>
      </c>
      <c r="F50" s="8" t="s">
        <v>522</v>
      </c>
      <c r="G50" s="8" t="s">
        <v>523</v>
      </c>
      <c r="H50" s="9" t="s">
        <v>93</v>
      </c>
      <c r="I50" s="8" t="s">
        <v>70</v>
      </c>
      <c r="J50" s="8" t="n">
        <v>12</v>
      </c>
      <c r="K50" s="8" t="n">
        <v>5</v>
      </c>
    </row>
    <row r="51" customFormat="false" ht="15" hidden="false" customHeight="false" outlineLevel="0" collapsed="false">
      <c r="A51" s="9" t="s">
        <v>576</v>
      </c>
      <c r="B51" s="8" t="s">
        <v>577</v>
      </c>
      <c r="C51" s="8" t="s">
        <v>578</v>
      </c>
      <c r="D51" s="8" t="s">
        <v>579</v>
      </c>
      <c r="E51" s="8" t="s">
        <v>77</v>
      </c>
      <c r="F51" s="8" t="s">
        <v>580</v>
      </c>
      <c r="G51" s="8" t="s">
        <v>581</v>
      </c>
      <c r="H51" s="9" t="s">
        <v>353</v>
      </c>
      <c r="I51" s="8" t="s">
        <v>70</v>
      </c>
      <c r="J51" s="8" t="n">
        <v>12</v>
      </c>
      <c r="K51" s="8" t="n">
        <v>5</v>
      </c>
    </row>
    <row r="52" customFormat="false" ht="35.05" hidden="false" customHeight="false" outlineLevel="0" collapsed="false">
      <c r="A52" s="9" t="s">
        <v>582</v>
      </c>
      <c r="B52" s="8" t="s">
        <v>583</v>
      </c>
      <c r="C52" s="8" t="s">
        <v>584</v>
      </c>
      <c r="D52" s="8" t="s">
        <v>585</v>
      </c>
      <c r="E52" s="8" t="s">
        <v>87</v>
      </c>
      <c r="F52" s="8" t="s">
        <v>586</v>
      </c>
      <c r="G52" s="8" t="s">
        <v>587</v>
      </c>
      <c r="H52" s="9" t="s">
        <v>69</v>
      </c>
      <c r="I52" s="8" t="s">
        <v>70</v>
      </c>
      <c r="J52" s="8" t="n">
        <v>11</v>
      </c>
      <c r="K52" s="8" t="n">
        <v>5</v>
      </c>
    </row>
    <row r="53" customFormat="false" ht="35.05" hidden="false" customHeight="false" outlineLevel="0" collapsed="false">
      <c r="A53" s="9" t="s">
        <v>588</v>
      </c>
      <c r="B53" s="8" t="s">
        <v>588</v>
      </c>
      <c r="C53" s="8" t="s">
        <v>589</v>
      </c>
      <c r="D53" s="8" t="s">
        <v>252</v>
      </c>
      <c r="E53" s="8" t="s">
        <v>77</v>
      </c>
      <c r="F53" s="8" t="s">
        <v>590</v>
      </c>
      <c r="G53" s="8" t="s">
        <v>591</v>
      </c>
      <c r="H53" s="9" t="s">
        <v>69</v>
      </c>
      <c r="I53" s="8" t="s">
        <v>70</v>
      </c>
      <c r="J53" s="8" t="n">
        <v>10</v>
      </c>
      <c r="K53" s="8" t="n">
        <v>5</v>
      </c>
    </row>
    <row r="54" customFormat="false" ht="23.85" hidden="false" customHeight="false" outlineLevel="0" collapsed="false">
      <c r="A54" s="9" t="s">
        <v>592</v>
      </c>
      <c r="B54" s="8" t="s">
        <v>593</v>
      </c>
      <c r="C54" s="8" t="s">
        <v>594</v>
      </c>
      <c r="D54" s="8" t="s">
        <v>252</v>
      </c>
      <c r="E54" s="8" t="s">
        <v>77</v>
      </c>
      <c r="F54" s="8" t="s">
        <v>595</v>
      </c>
      <c r="G54" s="8" t="s">
        <v>596</v>
      </c>
      <c r="H54" s="9" t="s">
        <v>353</v>
      </c>
      <c r="I54" s="8" t="s">
        <v>70</v>
      </c>
      <c r="J54" s="8" t="n">
        <v>8</v>
      </c>
      <c r="K54" s="8" t="n">
        <v>5</v>
      </c>
    </row>
    <row r="55" customFormat="false" ht="35.05" hidden="false" customHeight="false" outlineLevel="0" collapsed="false">
      <c r="A55" s="9" t="s">
        <v>597</v>
      </c>
      <c r="B55" s="8" t="s">
        <v>598</v>
      </c>
      <c r="C55" s="8" t="s">
        <v>599</v>
      </c>
      <c r="D55" s="8" t="s">
        <v>86</v>
      </c>
      <c r="E55" s="8" t="s">
        <v>87</v>
      </c>
      <c r="F55" s="8" t="s">
        <v>600</v>
      </c>
      <c r="G55" s="8" t="s">
        <v>601</v>
      </c>
      <c r="H55" s="9" t="s">
        <v>93</v>
      </c>
      <c r="I55" s="8" t="s">
        <v>70</v>
      </c>
      <c r="J55" s="8" t="n">
        <v>7</v>
      </c>
      <c r="K55" s="8" t="n">
        <v>5</v>
      </c>
    </row>
    <row r="56" customFormat="false" ht="23.85" hidden="false" customHeight="false" outlineLevel="0" collapsed="false">
      <c r="A56" s="9" t="s">
        <v>602</v>
      </c>
      <c r="B56" s="8" t="s">
        <v>603</v>
      </c>
      <c r="C56" s="8" t="s">
        <v>604</v>
      </c>
      <c r="D56" s="8" t="s">
        <v>134</v>
      </c>
      <c r="E56" s="8" t="s">
        <v>87</v>
      </c>
      <c r="F56" s="8" t="s">
        <v>605</v>
      </c>
      <c r="G56" s="8" t="s">
        <v>606</v>
      </c>
      <c r="H56" s="9" t="s">
        <v>368</v>
      </c>
      <c r="I56" s="8" t="s">
        <v>70</v>
      </c>
      <c r="J56" s="8" t="n">
        <v>3</v>
      </c>
      <c r="K56" s="8" t="n">
        <v>5</v>
      </c>
    </row>
    <row r="57" customFormat="false" ht="35.05" hidden="false" customHeight="false" outlineLevel="0" collapsed="false">
      <c r="A57" s="9" t="s">
        <v>607</v>
      </c>
      <c r="B57" s="8" t="s">
        <v>608</v>
      </c>
      <c r="C57" s="8" t="s">
        <v>609</v>
      </c>
      <c r="D57" s="8" t="s">
        <v>151</v>
      </c>
      <c r="E57" s="8" t="s">
        <v>152</v>
      </c>
      <c r="F57" s="8" t="s">
        <v>610</v>
      </c>
      <c r="G57" s="8" t="s">
        <v>611</v>
      </c>
      <c r="H57" s="9" t="s">
        <v>69</v>
      </c>
      <c r="I57" s="8" t="s">
        <v>70</v>
      </c>
      <c r="J57" s="8" t="n">
        <v>3</v>
      </c>
      <c r="K57" s="8" t="n">
        <v>5</v>
      </c>
    </row>
    <row r="58" customFormat="false" ht="35.05" hidden="false" customHeight="false" outlineLevel="0" collapsed="false">
      <c r="A58" s="9" t="s">
        <v>612</v>
      </c>
      <c r="B58" s="8"/>
      <c r="C58" s="8" t="s">
        <v>613</v>
      </c>
      <c r="D58" s="8" t="s">
        <v>614</v>
      </c>
      <c r="E58" s="8" t="s">
        <v>63</v>
      </c>
      <c r="F58" s="8" t="s">
        <v>615</v>
      </c>
      <c r="G58" s="8" t="s">
        <v>616</v>
      </c>
      <c r="H58" s="9" t="s">
        <v>69</v>
      </c>
      <c r="I58" s="8" t="s">
        <v>112</v>
      </c>
      <c r="J58" s="8" t="n">
        <v>39</v>
      </c>
      <c r="K58" s="8" t="n">
        <v>5</v>
      </c>
    </row>
    <row r="59" customFormat="false" ht="35.05" hidden="false" customHeight="false" outlineLevel="0" collapsed="false">
      <c r="A59" s="9" t="s">
        <v>617</v>
      </c>
      <c r="B59" s="8" t="s">
        <v>618</v>
      </c>
      <c r="C59" s="8" t="s">
        <v>619</v>
      </c>
      <c r="D59" s="8" t="s">
        <v>434</v>
      </c>
      <c r="E59" s="8" t="s">
        <v>87</v>
      </c>
      <c r="F59" s="8" t="s">
        <v>620</v>
      </c>
      <c r="G59" s="8" t="s">
        <v>621</v>
      </c>
      <c r="H59" s="9" t="s">
        <v>622</v>
      </c>
      <c r="I59" s="8" t="s">
        <v>112</v>
      </c>
      <c r="J59" s="8" t="n">
        <v>38</v>
      </c>
      <c r="K59" s="8" t="n">
        <v>5</v>
      </c>
    </row>
    <row r="60" customFormat="false" ht="35.05" hidden="false" customHeight="false" outlineLevel="0" collapsed="false">
      <c r="A60" s="9" t="s">
        <v>623</v>
      </c>
      <c r="B60" s="8"/>
      <c r="C60" s="8" t="s">
        <v>624</v>
      </c>
      <c r="D60" s="8" t="s">
        <v>76</v>
      </c>
      <c r="E60" s="8" t="s">
        <v>77</v>
      </c>
      <c r="F60" s="8" t="s">
        <v>625</v>
      </c>
      <c r="G60" s="8" t="s">
        <v>626</v>
      </c>
      <c r="H60" s="9" t="s">
        <v>69</v>
      </c>
      <c r="I60" s="8" t="s">
        <v>112</v>
      </c>
      <c r="J60" s="8" t="n">
        <v>29</v>
      </c>
      <c r="K60" s="8" t="n">
        <v>5</v>
      </c>
    </row>
    <row r="61" customFormat="false" ht="35.05" hidden="false" customHeight="false" outlineLevel="0" collapsed="false">
      <c r="A61" s="9" t="s">
        <v>627</v>
      </c>
      <c r="B61" s="8" t="s">
        <v>628</v>
      </c>
      <c r="C61" s="8" t="s">
        <v>629</v>
      </c>
      <c r="D61" s="8" t="s">
        <v>243</v>
      </c>
      <c r="E61" s="8" t="s">
        <v>87</v>
      </c>
      <c r="F61" s="8" t="s">
        <v>630</v>
      </c>
      <c r="G61" s="8" t="s">
        <v>631</v>
      </c>
      <c r="H61" s="9" t="s">
        <v>69</v>
      </c>
      <c r="I61" s="8" t="s">
        <v>112</v>
      </c>
      <c r="J61" s="8" t="n">
        <v>27</v>
      </c>
      <c r="K61" s="8" t="n">
        <v>5</v>
      </c>
    </row>
    <row r="62" customFormat="false" ht="35.05" hidden="false" customHeight="false" outlineLevel="0" collapsed="false">
      <c r="A62" s="9" t="s">
        <v>632</v>
      </c>
      <c r="B62" s="8" t="s">
        <v>633</v>
      </c>
      <c r="C62" s="8" t="s">
        <v>634</v>
      </c>
      <c r="D62" s="8" t="s">
        <v>197</v>
      </c>
      <c r="E62" s="8" t="s">
        <v>87</v>
      </c>
      <c r="F62" s="8" t="s">
        <v>635</v>
      </c>
      <c r="G62" s="8" t="s">
        <v>636</v>
      </c>
      <c r="H62" s="9" t="s">
        <v>69</v>
      </c>
      <c r="I62" s="8" t="s">
        <v>112</v>
      </c>
      <c r="J62" s="8" t="n">
        <v>24</v>
      </c>
      <c r="K62" s="8" t="n">
        <v>5</v>
      </c>
    </row>
    <row r="63" customFormat="false" ht="35.05" hidden="false" customHeight="false" outlineLevel="0" collapsed="false">
      <c r="A63" s="9" t="s">
        <v>637</v>
      </c>
      <c r="B63" s="8"/>
      <c r="C63" s="8" t="s">
        <v>638</v>
      </c>
      <c r="D63" s="8" t="s">
        <v>639</v>
      </c>
      <c r="E63" s="8" t="s">
        <v>87</v>
      </c>
      <c r="F63" s="8" t="s">
        <v>640</v>
      </c>
      <c r="G63" s="8" t="s">
        <v>641</v>
      </c>
      <c r="H63" s="9" t="s">
        <v>69</v>
      </c>
      <c r="I63" s="8" t="s">
        <v>112</v>
      </c>
      <c r="J63" s="8" t="n">
        <v>23</v>
      </c>
      <c r="K63" s="8" t="n">
        <v>5</v>
      </c>
    </row>
    <row r="64" customFormat="false" ht="35.05" hidden="false" customHeight="false" outlineLevel="0" collapsed="false">
      <c r="A64" s="9" t="s">
        <v>642</v>
      </c>
      <c r="B64" s="8"/>
      <c r="C64" s="8" t="s">
        <v>643</v>
      </c>
      <c r="D64" s="8" t="s">
        <v>585</v>
      </c>
      <c r="E64" s="8" t="s">
        <v>87</v>
      </c>
      <c r="F64" s="8" t="s">
        <v>644</v>
      </c>
      <c r="G64" s="8" t="s">
        <v>645</v>
      </c>
      <c r="H64" s="9" t="s">
        <v>419</v>
      </c>
      <c r="I64" s="8" t="s">
        <v>112</v>
      </c>
      <c r="J64" s="8" t="n">
        <v>22</v>
      </c>
      <c r="K64" s="8" t="n">
        <v>5</v>
      </c>
    </row>
    <row r="65" customFormat="false" ht="23.85" hidden="false" customHeight="false" outlineLevel="0" collapsed="false">
      <c r="A65" s="9" t="s">
        <v>646</v>
      </c>
      <c r="B65" s="8" t="s">
        <v>647</v>
      </c>
      <c r="C65" s="8" t="s">
        <v>648</v>
      </c>
      <c r="D65" s="8" t="s">
        <v>267</v>
      </c>
      <c r="E65" s="8" t="s">
        <v>152</v>
      </c>
      <c r="F65" s="8" t="s">
        <v>649</v>
      </c>
      <c r="G65" s="8" t="s">
        <v>650</v>
      </c>
      <c r="H65" s="9" t="s">
        <v>353</v>
      </c>
      <c r="I65" s="8" t="s">
        <v>112</v>
      </c>
      <c r="J65" s="8" t="n">
        <v>20</v>
      </c>
      <c r="K65" s="8" t="n">
        <v>5</v>
      </c>
    </row>
    <row r="66" customFormat="false" ht="35.05" hidden="false" customHeight="false" outlineLevel="0" collapsed="false">
      <c r="A66" s="9" t="s">
        <v>651</v>
      </c>
      <c r="B66" s="8"/>
      <c r="C66" s="8" t="s">
        <v>652</v>
      </c>
      <c r="D66" s="8" t="s">
        <v>382</v>
      </c>
      <c r="E66" s="8" t="s">
        <v>87</v>
      </c>
      <c r="F66" s="8" t="s">
        <v>653</v>
      </c>
      <c r="G66" s="8" t="s">
        <v>654</v>
      </c>
      <c r="H66" s="9" t="s">
        <v>518</v>
      </c>
      <c r="I66" s="8" t="s">
        <v>112</v>
      </c>
      <c r="J66" s="8" t="n">
        <v>16</v>
      </c>
      <c r="K66" s="8" t="n">
        <v>5</v>
      </c>
    </row>
    <row r="67" customFormat="false" ht="23.85" hidden="false" customHeight="false" outlineLevel="0" collapsed="false">
      <c r="A67" s="9" t="s">
        <v>655</v>
      </c>
      <c r="B67" s="8" t="s">
        <v>656</v>
      </c>
      <c r="C67" s="8" t="s">
        <v>657</v>
      </c>
      <c r="D67" s="8" t="s">
        <v>658</v>
      </c>
      <c r="E67" s="8" t="s">
        <v>87</v>
      </c>
      <c r="F67" s="8" t="s">
        <v>659</v>
      </c>
      <c r="G67" s="8" t="s">
        <v>660</v>
      </c>
      <c r="H67" s="9" t="s">
        <v>353</v>
      </c>
      <c r="I67" s="8" t="s">
        <v>112</v>
      </c>
      <c r="J67" s="8" t="n">
        <v>16</v>
      </c>
      <c r="K67" s="8" t="n">
        <v>5</v>
      </c>
    </row>
    <row r="68" customFormat="false" ht="23.85" hidden="false" customHeight="false" outlineLevel="0" collapsed="false">
      <c r="A68" s="9" t="s">
        <v>661</v>
      </c>
      <c r="B68" s="8"/>
      <c r="C68" s="8" t="s">
        <v>662</v>
      </c>
      <c r="D68" s="8" t="s">
        <v>663</v>
      </c>
      <c r="E68" s="8" t="s">
        <v>63</v>
      </c>
      <c r="F68" s="8" t="s">
        <v>664</v>
      </c>
      <c r="G68" s="8" t="s">
        <v>665</v>
      </c>
      <c r="H68" s="9" t="s">
        <v>353</v>
      </c>
      <c r="I68" s="8" t="s">
        <v>112</v>
      </c>
      <c r="J68" s="8" t="n">
        <v>16</v>
      </c>
      <c r="K68" s="8" t="n">
        <v>5</v>
      </c>
    </row>
    <row r="69" customFormat="false" ht="35.05" hidden="false" customHeight="false" outlineLevel="0" collapsed="false">
      <c r="A69" s="9" t="s">
        <v>666</v>
      </c>
      <c r="B69" s="8" t="s">
        <v>667</v>
      </c>
      <c r="C69" s="8" t="s">
        <v>668</v>
      </c>
      <c r="D69" s="8" t="s">
        <v>455</v>
      </c>
      <c r="E69" s="8" t="s">
        <v>179</v>
      </c>
      <c r="F69" s="8" t="s">
        <v>669</v>
      </c>
      <c r="G69" s="8" t="s">
        <v>670</v>
      </c>
      <c r="H69" s="9" t="s">
        <v>69</v>
      </c>
      <c r="I69" s="8" t="s">
        <v>112</v>
      </c>
      <c r="J69" s="8" t="n">
        <v>16</v>
      </c>
      <c r="K69" s="8" t="n">
        <v>5</v>
      </c>
    </row>
    <row r="70" customFormat="false" ht="35.05" hidden="false" customHeight="false" outlineLevel="0" collapsed="false">
      <c r="A70" s="9" t="s">
        <v>671</v>
      </c>
      <c r="B70" s="8"/>
      <c r="C70" s="8" t="s">
        <v>672</v>
      </c>
      <c r="D70" s="8" t="s">
        <v>639</v>
      </c>
      <c r="E70" s="8" t="s">
        <v>87</v>
      </c>
      <c r="F70" s="8" t="s">
        <v>640</v>
      </c>
      <c r="G70" s="8" t="s">
        <v>673</v>
      </c>
      <c r="H70" s="9" t="s">
        <v>69</v>
      </c>
      <c r="I70" s="8" t="s">
        <v>112</v>
      </c>
      <c r="J70" s="8" t="n">
        <v>15</v>
      </c>
      <c r="K70" s="8" t="n">
        <v>5</v>
      </c>
    </row>
    <row r="71" customFormat="false" ht="15" hidden="false" customHeight="false" outlineLevel="0" collapsed="false">
      <c r="A71" s="9" t="s">
        <v>674</v>
      </c>
      <c r="B71" s="8"/>
      <c r="C71" s="8" t="s">
        <v>675</v>
      </c>
      <c r="D71" s="8" t="s">
        <v>461</v>
      </c>
      <c r="E71" s="8" t="s">
        <v>152</v>
      </c>
      <c r="F71" s="8" t="s">
        <v>676</v>
      </c>
      <c r="G71" s="8" t="s">
        <v>677</v>
      </c>
      <c r="H71" s="9" t="s">
        <v>353</v>
      </c>
      <c r="I71" s="8" t="s">
        <v>112</v>
      </c>
      <c r="J71" s="8" t="n">
        <v>15</v>
      </c>
      <c r="K71" s="8" t="n">
        <v>5</v>
      </c>
    </row>
    <row r="72" customFormat="false" ht="23.85" hidden="false" customHeight="false" outlineLevel="0" collapsed="false">
      <c r="A72" s="9" t="s">
        <v>678</v>
      </c>
      <c r="B72" s="8" t="s">
        <v>679</v>
      </c>
      <c r="C72" s="8" t="s">
        <v>680</v>
      </c>
      <c r="D72" s="8" t="s">
        <v>681</v>
      </c>
      <c r="E72" s="8" t="s">
        <v>87</v>
      </c>
      <c r="F72" s="8" t="s">
        <v>682</v>
      </c>
      <c r="G72" s="8" t="s">
        <v>683</v>
      </c>
      <c r="H72" s="9" t="s">
        <v>353</v>
      </c>
      <c r="I72" s="8" t="s">
        <v>112</v>
      </c>
      <c r="J72" s="8" t="n">
        <v>14</v>
      </c>
      <c r="K72" s="8" t="n">
        <v>5</v>
      </c>
    </row>
    <row r="73" customFormat="false" ht="35.05" hidden="false" customHeight="false" outlineLevel="0" collapsed="false">
      <c r="A73" s="9" t="s">
        <v>684</v>
      </c>
      <c r="B73" s="8" t="s">
        <v>685</v>
      </c>
      <c r="C73" s="8" t="s">
        <v>686</v>
      </c>
      <c r="D73" s="8" t="s">
        <v>687</v>
      </c>
      <c r="E73" s="8" t="s">
        <v>152</v>
      </c>
      <c r="F73" s="8" t="s">
        <v>688</v>
      </c>
      <c r="G73" s="8" t="s">
        <v>689</v>
      </c>
      <c r="H73" s="9" t="s">
        <v>69</v>
      </c>
      <c r="I73" s="8" t="s">
        <v>112</v>
      </c>
      <c r="J73" s="8" t="n">
        <v>14</v>
      </c>
      <c r="K73" s="8" t="n">
        <v>5</v>
      </c>
    </row>
    <row r="74" customFormat="false" ht="35.05" hidden="false" customHeight="false" outlineLevel="0" collapsed="false">
      <c r="A74" s="9" t="s">
        <v>690</v>
      </c>
      <c r="B74" s="8"/>
      <c r="C74" s="8" t="s">
        <v>691</v>
      </c>
      <c r="D74" s="8" t="s">
        <v>107</v>
      </c>
      <c r="E74" s="8" t="s">
        <v>87</v>
      </c>
      <c r="F74" s="8" t="s">
        <v>692</v>
      </c>
      <c r="G74" s="8" t="s">
        <v>693</v>
      </c>
      <c r="H74" s="9" t="s">
        <v>69</v>
      </c>
      <c r="I74" s="8" t="s">
        <v>112</v>
      </c>
      <c r="J74" s="8" t="n">
        <v>10</v>
      </c>
      <c r="K74" s="8" t="n">
        <v>5</v>
      </c>
    </row>
    <row r="75" customFormat="false" ht="35.05" hidden="false" customHeight="false" outlineLevel="0" collapsed="false">
      <c r="A75" s="9" t="s">
        <v>694</v>
      </c>
      <c r="B75" s="8" t="s">
        <v>695</v>
      </c>
      <c r="C75" s="8" t="s">
        <v>696</v>
      </c>
      <c r="D75" s="8" t="s">
        <v>427</v>
      </c>
      <c r="E75" s="8" t="s">
        <v>179</v>
      </c>
      <c r="F75" s="8" t="s">
        <v>697</v>
      </c>
      <c r="G75" s="8" t="s">
        <v>698</v>
      </c>
      <c r="H75" s="9" t="s">
        <v>69</v>
      </c>
      <c r="I75" s="8" t="s">
        <v>112</v>
      </c>
      <c r="J75" s="8" t="n">
        <v>7</v>
      </c>
      <c r="K75" s="8" t="n">
        <v>5</v>
      </c>
    </row>
    <row r="76" customFormat="false" ht="35.05" hidden="false" customHeight="false" outlineLevel="0" collapsed="false">
      <c r="A76" s="9" t="s">
        <v>699</v>
      </c>
      <c r="B76" s="8"/>
      <c r="C76" s="8" t="s">
        <v>700</v>
      </c>
      <c r="D76" s="8" t="s">
        <v>701</v>
      </c>
      <c r="E76" s="8" t="s">
        <v>77</v>
      </c>
      <c r="F76" s="8" t="s">
        <v>702</v>
      </c>
      <c r="G76" s="8" t="s">
        <v>703</v>
      </c>
      <c r="H76" s="9" t="s">
        <v>69</v>
      </c>
      <c r="I76" s="8" t="s">
        <v>112</v>
      </c>
      <c r="J76" s="8" t="n">
        <v>6</v>
      </c>
      <c r="K76" s="8" t="n">
        <v>5</v>
      </c>
    </row>
    <row r="77" customFormat="false" ht="35.05" hidden="false" customHeight="false" outlineLevel="0" collapsed="false">
      <c r="A77" s="9" t="s">
        <v>704</v>
      </c>
      <c r="B77" s="8" t="s">
        <v>705</v>
      </c>
      <c r="C77" s="8" t="s">
        <v>706</v>
      </c>
      <c r="D77" s="8" t="s">
        <v>707</v>
      </c>
      <c r="E77" s="8" t="s">
        <v>77</v>
      </c>
      <c r="F77" s="8" t="s">
        <v>708</v>
      </c>
      <c r="G77" s="8" t="s">
        <v>709</v>
      </c>
      <c r="H77" s="9" t="s">
        <v>69</v>
      </c>
      <c r="I77" s="8" t="s">
        <v>112</v>
      </c>
      <c r="J77" s="8" t="n">
        <v>5</v>
      </c>
      <c r="K77" s="8" t="n">
        <v>5</v>
      </c>
    </row>
    <row r="78" customFormat="false" ht="15" hidden="false" customHeight="false" outlineLevel="0" collapsed="false">
      <c r="A78" s="9" t="s">
        <v>710</v>
      </c>
      <c r="B78" s="8"/>
      <c r="C78" s="8" t="s">
        <v>711</v>
      </c>
      <c r="D78" s="8" t="s">
        <v>178</v>
      </c>
      <c r="E78" s="8" t="s">
        <v>179</v>
      </c>
      <c r="F78" s="8" t="s">
        <v>476</v>
      </c>
      <c r="G78" s="8" t="s">
        <v>477</v>
      </c>
      <c r="H78" s="9" t="s">
        <v>353</v>
      </c>
      <c r="I78" s="8" t="s">
        <v>112</v>
      </c>
      <c r="J78" s="8" t="n">
        <v>5</v>
      </c>
      <c r="K78" s="8" t="n">
        <v>5</v>
      </c>
    </row>
    <row r="79" customFormat="false" ht="35.05" hidden="false" customHeight="false" outlineLevel="0" collapsed="false">
      <c r="A79" s="9" t="s">
        <v>712</v>
      </c>
      <c r="B79" s="8" t="s">
        <v>713</v>
      </c>
      <c r="C79" s="8" t="s">
        <v>714</v>
      </c>
      <c r="D79" s="8" t="s">
        <v>188</v>
      </c>
      <c r="E79" s="8" t="s">
        <v>77</v>
      </c>
      <c r="F79" s="8" t="s">
        <v>715</v>
      </c>
      <c r="G79" s="8" t="s">
        <v>716</v>
      </c>
      <c r="H79" s="9" t="s">
        <v>69</v>
      </c>
      <c r="I79" s="8" t="s">
        <v>112</v>
      </c>
      <c r="J79" s="8" t="n">
        <v>4</v>
      </c>
      <c r="K79" s="8" t="n">
        <v>5</v>
      </c>
    </row>
    <row r="80" customFormat="false" ht="35.05" hidden="false" customHeight="false" outlineLevel="0" collapsed="false">
      <c r="A80" s="9" t="s">
        <v>717</v>
      </c>
      <c r="B80" s="8"/>
      <c r="C80" s="8" t="s">
        <v>718</v>
      </c>
      <c r="D80" s="8" t="s">
        <v>86</v>
      </c>
      <c r="E80" s="8" t="s">
        <v>87</v>
      </c>
      <c r="F80" s="8" t="s">
        <v>719</v>
      </c>
      <c r="G80" s="8" t="s">
        <v>720</v>
      </c>
      <c r="H80" s="9" t="s">
        <v>69</v>
      </c>
      <c r="I80" s="8" t="s">
        <v>112</v>
      </c>
      <c r="J80" s="8" t="n">
        <v>4</v>
      </c>
      <c r="K80" s="8" t="n">
        <v>5</v>
      </c>
    </row>
    <row r="81" customFormat="false" ht="35.05" hidden="false" customHeight="false" outlineLevel="0" collapsed="false">
      <c r="A81" s="9" t="s">
        <v>721</v>
      </c>
      <c r="B81" s="8" t="s">
        <v>722</v>
      </c>
      <c r="C81" s="8" t="s">
        <v>723</v>
      </c>
      <c r="D81" s="8" t="s">
        <v>329</v>
      </c>
      <c r="E81" s="8" t="s">
        <v>87</v>
      </c>
      <c r="F81" s="8" t="s">
        <v>724</v>
      </c>
      <c r="G81" s="8" t="s">
        <v>725</v>
      </c>
      <c r="H81" s="9" t="s">
        <v>69</v>
      </c>
      <c r="I81" s="8" t="s">
        <v>112</v>
      </c>
      <c r="J81" s="8" t="n">
        <v>3</v>
      </c>
      <c r="K81" s="8" t="n">
        <v>5</v>
      </c>
    </row>
    <row r="82" customFormat="false" ht="35.05" hidden="false" customHeight="false" outlineLevel="0" collapsed="false">
      <c r="A82" s="9" t="s">
        <v>726</v>
      </c>
      <c r="B82" s="8"/>
      <c r="C82" s="8" t="s">
        <v>727</v>
      </c>
      <c r="D82" s="8" t="s">
        <v>197</v>
      </c>
      <c r="E82" s="8" t="s">
        <v>87</v>
      </c>
      <c r="F82" s="8" t="s">
        <v>728</v>
      </c>
      <c r="G82" s="8" t="s">
        <v>729</v>
      </c>
      <c r="H82" s="9" t="s">
        <v>69</v>
      </c>
      <c r="I82" s="8" t="s">
        <v>112</v>
      </c>
      <c r="J82" s="8" t="n">
        <v>3</v>
      </c>
      <c r="K82" s="8" t="n">
        <v>5</v>
      </c>
    </row>
  </sheetData>
  <autoFilter ref="A1:K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60"/>
  </cols>
  <sheetData>
    <row r="1" customFormat="false" ht="31.5" hidden="false" customHeight="true" outlineLevel="0" collapsed="false">
      <c r="A1" s="7" t="s">
        <v>730</v>
      </c>
      <c r="B1" s="7" t="s">
        <v>731</v>
      </c>
      <c r="C1" s="7" t="s">
        <v>732</v>
      </c>
    </row>
    <row r="2" customFormat="false" ht="23.85" hidden="false" customHeight="false" outlineLevel="0" collapsed="false">
      <c r="A2" s="9" t="s">
        <v>733</v>
      </c>
      <c r="B2" s="9" t="s">
        <v>734</v>
      </c>
      <c r="C2" s="9" t="s">
        <v>735</v>
      </c>
    </row>
    <row r="3" customFormat="false" ht="15" hidden="false" customHeight="false" outlineLevel="0" collapsed="false">
      <c r="A3" s="9" t="s">
        <v>736</v>
      </c>
      <c r="B3" s="9" t="s">
        <v>737</v>
      </c>
      <c r="C3" s="9" t="s">
        <v>738</v>
      </c>
    </row>
    <row r="4" customFormat="false" ht="15" hidden="false" customHeight="false" outlineLevel="0" collapsed="false">
      <c r="A4" s="9" t="s">
        <v>739</v>
      </c>
      <c r="B4" s="9" t="s">
        <v>740</v>
      </c>
      <c r="C4" s="9" t="s">
        <v>741</v>
      </c>
    </row>
    <row r="5" customFormat="false" ht="15" hidden="false" customHeight="false" outlineLevel="0" collapsed="false">
      <c r="A5" s="9" t="s">
        <v>742</v>
      </c>
      <c r="B5" s="9" t="s">
        <v>743</v>
      </c>
      <c r="C5" s="9" t="s">
        <v>744</v>
      </c>
    </row>
    <row r="6" customFormat="false" ht="23.85" hidden="false" customHeight="false" outlineLevel="0" collapsed="false">
      <c r="A6" s="9" t="s">
        <v>745</v>
      </c>
      <c r="B6" s="9" t="s">
        <v>746</v>
      </c>
      <c r="C6" s="9" t="s">
        <v>747</v>
      </c>
    </row>
    <row r="7" customFormat="false" ht="15" hidden="false" customHeight="false" outlineLevel="0" collapsed="false">
      <c r="A7" s="9" t="s">
        <v>748</v>
      </c>
      <c r="B7" s="9" t="s">
        <v>749</v>
      </c>
      <c r="C7" s="9" t="s">
        <v>750</v>
      </c>
    </row>
    <row r="8" customFormat="false" ht="15" hidden="false" customHeight="false" outlineLevel="0" collapsed="false">
      <c r="A8" s="9" t="s">
        <v>751</v>
      </c>
      <c r="B8" s="9" t="s">
        <v>752</v>
      </c>
      <c r="C8" s="9" t="s">
        <v>753</v>
      </c>
    </row>
    <row r="9" customFormat="false" ht="15" hidden="false" customHeight="false" outlineLevel="0" collapsed="false">
      <c r="A9" s="9" t="s">
        <v>754</v>
      </c>
      <c r="B9" s="9" t="s">
        <v>755</v>
      </c>
      <c r="C9" s="9" t="s">
        <v>756</v>
      </c>
    </row>
    <row r="10" customFormat="false" ht="23.85" hidden="false" customHeight="false" outlineLevel="0" collapsed="false">
      <c r="A10" s="9" t="s">
        <v>757</v>
      </c>
      <c r="B10" s="9" t="s">
        <v>758</v>
      </c>
      <c r="C10" s="9" t="s">
        <v>759</v>
      </c>
    </row>
    <row r="11" customFormat="false" ht="15" hidden="false" customHeight="false" outlineLevel="0" collapsed="false">
      <c r="A11" s="9" t="s">
        <v>760</v>
      </c>
      <c r="B11" s="9" t="s">
        <v>761</v>
      </c>
      <c r="C11" s="9" t="s">
        <v>762</v>
      </c>
    </row>
    <row r="12" customFormat="false" ht="15" hidden="false" customHeight="false" outlineLevel="0" collapsed="false">
      <c r="A12" s="9" t="s">
        <v>763</v>
      </c>
      <c r="B12" s="9" t="s">
        <v>764</v>
      </c>
      <c r="C12" s="9" t="s">
        <v>765</v>
      </c>
    </row>
    <row r="13" customFormat="false" ht="23.85" hidden="false" customHeight="false" outlineLevel="0" collapsed="false">
      <c r="A13" s="9" t="s">
        <v>766</v>
      </c>
      <c r="B13" s="9" t="s">
        <v>767</v>
      </c>
      <c r="C13" s="9" t="s">
        <v>768</v>
      </c>
    </row>
    <row r="14" customFormat="false" ht="23.85" hidden="false" customHeight="false" outlineLevel="0" collapsed="false">
      <c r="A14" s="9" t="s">
        <v>769</v>
      </c>
      <c r="B14" s="9" t="s">
        <v>770</v>
      </c>
      <c r="C14" s="9" t="s">
        <v>771</v>
      </c>
    </row>
    <row r="15" customFormat="false" ht="23.85" hidden="false" customHeight="false" outlineLevel="0" collapsed="false">
      <c r="A15" s="9" t="s">
        <v>772</v>
      </c>
      <c r="B15" s="9" t="s">
        <v>773</v>
      </c>
      <c r="C15" s="9" t="s">
        <v>774</v>
      </c>
    </row>
    <row r="16" customFormat="false" ht="15" hidden="false" customHeight="false" outlineLevel="0" collapsed="false">
      <c r="A16" s="9" t="s">
        <v>775</v>
      </c>
      <c r="B16" s="9" t="s">
        <v>776</v>
      </c>
      <c r="C16" s="9" t="s">
        <v>777</v>
      </c>
    </row>
    <row r="17" customFormat="false" ht="15" hidden="false" customHeight="false" outlineLevel="0" collapsed="false">
      <c r="A17" s="9" t="s">
        <v>778</v>
      </c>
      <c r="B17" s="9" t="s">
        <v>779</v>
      </c>
      <c r="C17" s="9" t="s">
        <v>780</v>
      </c>
    </row>
    <row r="18" customFormat="false" ht="15" hidden="false" customHeight="false" outlineLevel="0" collapsed="false">
      <c r="A18" s="9" t="s">
        <v>781</v>
      </c>
      <c r="B18" s="9" t="s">
        <v>782</v>
      </c>
      <c r="C18" s="9" t="s">
        <v>783</v>
      </c>
    </row>
    <row r="19" customFormat="false" ht="23.85" hidden="false" customHeight="false" outlineLevel="0" collapsed="false">
      <c r="A19" s="9" t="s">
        <v>784</v>
      </c>
      <c r="B19" s="9" t="s">
        <v>785</v>
      </c>
      <c r="C19" s="9" t="s">
        <v>786</v>
      </c>
    </row>
    <row r="20" customFormat="false" ht="15" hidden="false" customHeight="false" outlineLevel="0" collapsed="false">
      <c r="A20" s="9" t="s">
        <v>787</v>
      </c>
      <c r="B20" s="9" t="s">
        <v>788</v>
      </c>
      <c r="C20" s="9" t="s">
        <v>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2026-10-27T15:27:04Z</dcterms:created>
  <dc:creator>openpyxl</dc:creator>
  <dc:description/>
  <dc:language>en-US</dc:language>
  <cp:lastModifiedBy/>
  <dcterms:modified xsi:type="dcterms:W3CDTF">2026-10-27T15:27:04Z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