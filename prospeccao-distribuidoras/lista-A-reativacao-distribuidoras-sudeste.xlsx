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istribuidoras" sheetId="2" state="visible" r:id="rId4"/>
    <sheet name="Lojas em tabela atacado" sheetId="3" state="visible" r:id="rId5"/>
    <sheet name="Key accounts (gestor)" sheetId="4" state="visible" r:id="rId6"/>
    <sheet name="Fora da lista" sheetId="5" state="visible" r:id="rId7"/>
  </sheets>
  <definedNames>
    <definedName function="false" hidden="true" localSheetId="1" name="_xlnm._FilterDatabase" vbProcedure="false">Distribuidoras!$A$1:$Y$41</definedName>
    <definedName function="false" hidden="true" localSheetId="2" name="_xlnm._FilterDatabase" vbProcedure="false">'Lojas em tabela atacado'!$A$1:$Y$15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<sst xmlns="http://schemas.openxmlformats.org/spreadsheetml/2006/main" count="790" uniqueCount="435">
  <si>
    <t xml:space="preserve">Lista A: reativação de distribuidoras do Sudeste</t>
  </si>
  <si>
    <t xml:space="preserve">Fonte: Sankhya, extraído em 27/10/2026. Faturamento bruto dos últimos 24 meses, sem devoluções.</t>
  </si>
  <si>
    <t xml:space="preserve">Resumo</t>
  </si>
  <si>
    <t xml:space="preserve">Distribuidoras / atacadistas</t>
  </si>
  <si>
    <t xml:space="preserve">  prioridade A (≥ R$ 20 mil)</t>
  </si>
  <si>
    <t xml:space="preserve">  faturamento 24m em jogo (R$)</t>
  </si>
  <si>
    <t xml:space="preserve">  sem vendedor (SDR liga direto)</t>
  </si>
  <si>
    <t xml:space="preserve">Lojas em tabela atacado</t>
  </si>
  <si>
    <t xml:space="preserve">Key accounts parados (gestor)</t>
  </si>
  <si>
    <t xml:space="preserve">Pedidos fechados até agora</t>
  </si>
  <si>
    <t xml:space="preserve">Valor reativado (R$)</t>
  </si>
  <si>
    <t xml:space="preserve">Quem entrou</t>
  </si>
  <si>
    <t xml:space="preserve">Região</t>
  </si>
  <si>
    <t xml:space="preserve">SP, RJ, MG e ES.</t>
  </si>
  <si>
    <t xml:space="preserve">Critério</t>
  </si>
  <si>
    <t xml:space="preserve">Nome com DISTRIBUIDORA/ATACADISTA ou tabela de preço de distribuidor/atacado (o Sankhya não tem campo de segmento, então a lista é aproximada).</t>
  </si>
  <si>
    <t xml:space="preserve">Parado</t>
  </si>
  <si>
    <t xml:space="preserve">O grupo inteiro (todas as filiais) está há 60+ dias sem comprar e comprou pelo menos R$ 1.500 nos últimos 24 meses. Filial parada de grupo que segue comprando não entra.</t>
  </si>
  <si>
    <t xml:space="preserve">Prioridade</t>
  </si>
  <si>
    <t xml:space="preserve">A = comprou R$ 20 mil ou mais em 24 meses · B = R$ 5–20 mil · C = abaixo de R$ 5 mil.</t>
  </si>
  <si>
    <t xml:space="preserve">Como usar</t>
  </si>
  <si>
    <t xml:space="preserve">Abas</t>
  </si>
  <si>
    <t xml:space="preserve">Distribuidoras: lista principal da prospecção. Lojas em tabela atacado: varejistas que compram em tabela de atacado, prioridade menor. Key accounts: NÃO ligar, o gestor da conta trata. Fora da lista: o que foi tirado e por quê.</t>
  </si>
  <si>
    <t xml:space="preserve">Quem liga</t>
  </si>
  <si>
    <t xml:space="preserve">'SDR (sem dono)': o cliente não tem vendedor na carteira, o time liga direto. 'Vendedor (alinhar antes)': falar com o vendedor antes de ligar, para não atravessar a carteira dele.</t>
  </si>
  <si>
    <t xml:space="preserve">Colunas amarelas</t>
  </si>
  <si>
    <t xml:space="preserve">São para o time preencher (Status, Data do contato, Responsável, Motivo da parada, Próximo passo, Valor do pedido). Status tem lista suspensa. O resumo acima atualiza sozinho.</t>
  </si>
  <si>
    <t xml:space="preserve">Exemplo de preenchimento</t>
  </si>
  <si>
    <t xml:space="preserve">Status = Em conversa · Data = 03/11/2026 · Responsável = Ana · Motivo = Achou o frete CIF caro · Próximo passo = Enviar proposta FOB até 05/11 · Valor = (só quando fechar).</t>
  </si>
  <si>
    <t xml:space="preserve">Telefone e e-mail</t>
  </si>
  <si>
    <t xml:space="preserve">A visão do Sankhya usada aqui não traz contato. Pegar no cadastro do ERP pelo CNPJ ou na consulta pública de CNPJ.</t>
  </si>
  <si>
    <t xml:space="preserve">Roteiro da ligação</t>
  </si>
  <si>
    <t xml:space="preserve">1. Abertura</t>
  </si>
  <si>
    <t xml:space="preserve">"Oi, aqui é [nome] da Nitron. Vocês compravam a nossa [linha que mais comprava] até [mês da última compra] e eu queria entender o que mudou."</t>
  </si>
  <si>
    <t xml:space="preserve">2. Diagnóstico</t>
  </si>
  <si>
    <t xml:space="preserve">Por que parou? Preço, frete, prazo, ruptura, atendimento, trocou de fornecedor, o produto não girou? Anotar em 'Motivo da parada'.</t>
  </si>
  <si>
    <t xml:space="preserve">3. Oferta</t>
  </si>
  <si>
    <t xml:space="preserve">Responder ao motivo: tabela de distribuidor, pedido mínimo CIF da região, lançamentos da linha que ele já comprava, prazo.</t>
  </si>
  <si>
    <t xml:space="preserve">4. Fechamento</t>
  </si>
  <si>
    <t xml:space="preserve">Sair com um pedido ou com data marcada. Nunca terminar a ligação sem um próximo passo.</t>
  </si>
  <si>
    <t xml:space="preserve">Razão social</t>
  </si>
  <si>
    <t xml:space="preserve">Nome fantasia</t>
  </si>
  <si>
    <t xml:space="preserve">CNPJ</t>
  </si>
  <si>
    <t xml:space="preserve">Cidade</t>
  </si>
  <si>
    <t xml:space="preserve">UF</t>
  </si>
  <si>
    <t xml:space="preserve">Lojas/CNPJs</t>
  </si>
  <si>
    <t xml:space="preserve">Vendedor da carteira</t>
  </si>
  <si>
    <t xml:space="preserve">Gestor</t>
  </si>
  <si>
    <t xml:space="preserve">Tabela de preço</t>
  </si>
  <si>
    <t xml:space="preserve">1ª compra</t>
  </si>
  <si>
    <t xml:space="preserve">Última compra</t>
  </si>
  <si>
    <t xml:space="preserve">Dias sem compra</t>
  </si>
  <si>
    <t xml:space="preserve">Faturamento 24m (R$)</t>
  </si>
  <si>
    <t xml:space="preserve">Notas 24m</t>
  </si>
  <si>
    <t xml:space="preserve">Ticket médio (R$)</t>
  </si>
  <si>
    <t xml:space="preserve">Linhas que mais comprava</t>
  </si>
  <si>
    <t xml:space="preserve">Observação</t>
  </si>
  <si>
    <t xml:space="preserve">Status</t>
  </si>
  <si>
    <t xml:space="preserve">Data do contato</t>
  </si>
  <si>
    <t xml:space="preserve">Responsável</t>
  </si>
  <si>
    <t xml:space="preserve">Motivo da parada</t>
  </si>
  <si>
    <t xml:space="preserve">Próximo passo</t>
  </si>
  <si>
    <t xml:space="preserve">Valor do pedido (R$)</t>
  </si>
  <si>
    <t xml:space="preserve">ARMAZEM DO BASICO LTDA</t>
  </si>
  <si>
    <t xml:space="preserve">ARMAZEM DO BASICO</t>
  </si>
  <si>
    <t xml:space="preserve">39.240.706/0001-66</t>
  </si>
  <si>
    <t xml:space="preserve">Jundiaí</t>
  </si>
  <si>
    <t xml:space="preserve">SP</t>
  </si>
  <si>
    <t xml:space="preserve">VALERIA</t>
  </si>
  <si>
    <t xml:space="preserve">MARCOS</t>
  </si>
  <si>
    <t xml:space="preserve">Vendedor (alinhar antes)</t>
  </si>
  <si>
    <t xml:space="preserve">CLUBE NITRON ATACADO COMISSÃO 6%</t>
  </si>
  <si>
    <t xml:space="preserve">Organização 41% | Potes 28% | Frasqueiras 23%</t>
  </si>
  <si>
    <t xml:space="preserve">Maior da lista: ~R$ 26 mil/mês até jul/26. Prioridade máxima.</t>
  </si>
  <si>
    <t xml:space="preserve">A contatar</t>
  </si>
  <si>
    <t xml:space="preserve">SENSITIVE DISTRIBUIDORA LTDA</t>
  </si>
  <si>
    <t xml:space="preserve">SENSITIVE DISTRIBUIDORA</t>
  </si>
  <si>
    <t xml:space="preserve">33.150.867/0001-82</t>
  </si>
  <si>
    <t xml:space="preserve">São Paulo</t>
  </si>
  <si>
    <t xml:space="preserve">Coord. Int</t>
  </si>
  <si>
    <t xml:space="preserve">TABELA 30% OFF</t>
  </si>
  <si>
    <t xml:space="preserve">Frasqueiras 100%</t>
  </si>
  <si>
    <t xml:space="preserve">Só compra frasqueiras: perfil distribuidor de cosméticos/higiene.</t>
  </si>
  <si>
    <t xml:space="preserve">NETFACIL DISTRIBUIDORA DE PRODUTOS EM GERAL LTDA</t>
  </si>
  <si>
    <t xml:space="preserve">NETFACIL / M75</t>
  </si>
  <si>
    <t xml:space="preserve">51.845.015/0001-91</t>
  </si>
  <si>
    <t xml:space="preserve">&lt;SEM VENDEDOR&gt;</t>
  </si>
  <si>
    <t xml:space="preserve">SDR (sem dono)</t>
  </si>
  <si>
    <t xml:space="preserve">PV0003 - TABELA PADRÃO</t>
  </si>
  <si>
    <t xml:space="preserve">Frasqueiras 67% | Cozinha 25% | Organização 8%</t>
  </si>
  <si>
    <t xml:space="preserve">Grupo NetFácil + M75 (2 CNPJs). Sem vendedor na carteira.</t>
  </si>
  <si>
    <t xml:space="preserve">JMP ATACADISTA DE ALIMENTOS LTDA</t>
  </si>
  <si>
    <t xml:space="preserve">JMP ATACADISTA</t>
  </si>
  <si>
    <t xml:space="preserve">57.469.217/0001-62</t>
  </si>
  <si>
    <t xml:space="preserve">Serra</t>
  </si>
  <si>
    <t xml:space="preserve">ES</t>
  </si>
  <si>
    <t xml:space="preserve">LUCIANE VOGEL</t>
  </si>
  <si>
    <t xml:space="preserve">Sudeste</t>
  </si>
  <si>
    <t xml:space="preserve">Lixeiras 35% | Cozinha 19% | Banheiro 15%</t>
  </si>
  <si>
    <t xml:space="preserve">Atacadista de alimentos com 4 lojas: oferecer mix de giro (lixeiras, cozinha).</t>
  </si>
  <si>
    <t xml:space="preserve">USATEST TECH IMPORT LTDA</t>
  </si>
  <si>
    <t xml:space="preserve">USATEST TECH IMPORT</t>
  </si>
  <si>
    <t xml:space="preserve">32.076.437/0001-03</t>
  </si>
  <si>
    <t xml:space="preserve">Atibaia</t>
  </si>
  <si>
    <t xml:space="preserve">MILTON</t>
  </si>
  <si>
    <t xml:space="preserve">Int e Vale</t>
  </si>
  <si>
    <t xml:space="preserve">CLUBE NITRON DISTR. COMISSÃO 4%</t>
  </si>
  <si>
    <t xml:space="preserve">Só frasqueiras.</t>
  </si>
  <si>
    <t xml:space="preserve">CDBU DISTRIBUIDORA DE BRINQUEDOS E UTILI</t>
  </si>
  <si>
    <t xml:space="preserve">CAMICADO LJ1 (conferir cadastro)</t>
  </si>
  <si>
    <t xml:space="preserve">52.564.614/0001-08</t>
  </si>
  <si>
    <t xml:space="preserve">Capital SP</t>
  </si>
  <si>
    <t xml:space="preserve">Potes 36% | Organização 34% | Cozinha 15%</t>
  </si>
  <si>
    <t xml:space="preserve">Razão é CDBU, fantasia no cadastro diz Camicado: confirmar com quem fala.</t>
  </si>
  <si>
    <t xml:space="preserve">COMERCIAL LEONEL &amp; MEDEIROS EIRELI</t>
  </si>
  <si>
    <t xml:space="preserve">LEONEL &amp; MEDEIROS</t>
  </si>
  <si>
    <t xml:space="preserve">03.668.525/0001-98</t>
  </si>
  <si>
    <t xml:space="preserve">Uberlândia</t>
  </si>
  <si>
    <t xml:space="preserve">MG</t>
  </si>
  <si>
    <t xml:space="preserve">GERALDO</t>
  </si>
  <si>
    <t xml:space="preserve">CLUBE NITRON RED 155 ATACAD. COMISSÃO 6%</t>
  </si>
  <si>
    <t xml:space="preserve">Organização 23% | Lixeiras 23% | Cozinha 17%</t>
  </si>
  <si>
    <t xml:space="preserve">PROTTE ATACADO LTDA</t>
  </si>
  <si>
    <t xml:space="preserve">PROTTE ATACADO</t>
  </si>
  <si>
    <t xml:space="preserve">64.263.255/0001-20</t>
  </si>
  <si>
    <t xml:space="preserve">Belo Horizonte</t>
  </si>
  <si>
    <t xml:space="preserve">Potes 24% | Cozinha 19% | Lixeiras 15%</t>
  </si>
  <si>
    <t xml:space="preserve">F. F. ATACADISTA SAO CARLOS LTDA</t>
  </si>
  <si>
    <t xml:space="preserve">F. F. ATACADISTA / UNISHOP</t>
  </si>
  <si>
    <t xml:space="preserve">20.182.582/0001-81</t>
  </si>
  <si>
    <t xml:space="preserve">São Carlos</t>
  </si>
  <si>
    <t xml:space="preserve">AUTO ATEND.</t>
  </si>
  <si>
    <t xml:space="preserve">Organização 35% | Lixeiras 27% | Cozinha 14%</t>
  </si>
  <si>
    <t xml:space="preserve">Grupo de 3 CNPJs (inclui Unishop/SK). Sem vendedor.</t>
  </si>
  <si>
    <t xml:space="preserve">F R W DISTRIBUIDORA E COMERCIO LTDA</t>
  </si>
  <si>
    <t xml:space="preserve">BAFAFA</t>
  </si>
  <si>
    <t xml:space="preserve">54.560.250/0001-05</t>
  </si>
  <si>
    <t xml:space="preserve">Cachoeiro de Itapemirim</t>
  </si>
  <si>
    <t xml:space="preserve">JOANA</t>
  </si>
  <si>
    <t xml:space="preserve">Organização 42% | Cozinha 12% | Lixeiras 9%</t>
  </si>
  <si>
    <t xml:space="preserve">S.A.L INDUSTRIA E COMERCIO DE UTILIDADES</t>
  </si>
  <si>
    <t xml:space="preserve">S.A.L UTILIDADES</t>
  </si>
  <si>
    <t xml:space="preserve">26.172.371/0001-44</t>
  </si>
  <si>
    <t xml:space="preserve">Contagem</t>
  </si>
  <si>
    <t xml:space="preserve">FIGUEROA</t>
  </si>
  <si>
    <t xml:space="preserve">Potes 30% | Organização 17% | Jarras 14%</t>
  </si>
  <si>
    <t xml:space="preserve">DISTRIBUIDORA TRANSPORTADORA ARMAZENAMENTO &amp; EMPREENDIMENTOS</t>
  </si>
  <si>
    <t xml:space="preserve">DISTRIB. TRANSP. ARMAZENAMENTO</t>
  </si>
  <si>
    <t xml:space="preserve">64.764.997/0001-39</t>
  </si>
  <si>
    <t xml:space="preserve">Inimutaba</t>
  </si>
  <si>
    <t xml:space="preserve">DENIZE</t>
  </si>
  <si>
    <t xml:space="preserve">TABELA ESPECIAL MINAS</t>
  </si>
  <si>
    <t xml:space="preserve">Potes 29% | Organização 20% | Cozinha 18%</t>
  </si>
  <si>
    <t xml:space="preserve">Comprou 1 vez (R$ 25 mil, mai/26) e não voltou: entender o porquê.</t>
  </si>
  <si>
    <t xml:space="preserve">SPF DISTRIBUIDORA DE UTILIDADES DOMESTICAS LTDA</t>
  </si>
  <si>
    <t xml:space="preserve">SPF DISTRIBUIDORA</t>
  </si>
  <si>
    <t xml:space="preserve">01.387.543/0001-76</t>
  </si>
  <si>
    <t xml:space="preserve">Santa Bárbara d'Oeste</t>
  </si>
  <si>
    <t xml:space="preserve">HELENA SANTOS S</t>
  </si>
  <si>
    <t xml:space="preserve">Cozinha 72% | Organização 26% | Banheiro 2%</t>
  </si>
  <si>
    <t xml:space="preserve">Comprava basicamente Linha Cozinha.</t>
  </si>
  <si>
    <t xml:space="preserve">DISTRIBUIDORA SUDARIO LTDA</t>
  </si>
  <si>
    <t xml:space="preserve">CLARA EDUARDA UTILIDADES</t>
  </si>
  <si>
    <t xml:space="preserve">10.692.584/0001-67</t>
  </si>
  <si>
    <t xml:space="preserve">Betim</t>
  </si>
  <si>
    <t xml:space="preserve">EVERTON</t>
  </si>
  <si>
    <t xml:space="preserve">Organização 26% | Cozinha 18% | Limpeza 15%</t>
  </si>
  <si>
    <t xml:space="preserve">PRADO DISTRIBUIDORA DE UTILIDADE DOMESTICA LTDA</t>
  </si>
  <si>
    <t xml:space="preserve">FOGO AZUL SP</t>
  </si>
  <si>
    <t xml:space="preserve">34.647.606/0002-16</t>
  </si>
  <si>
    <t xml:space="preserve">Decor-Chef 45% | Decor-Confeitaria 37% | Cozinha 16%</t>
  </si>
  <si>
    <t xml:space="preserve">Foco Decor-Chef/Confeitaria. Sem vendedor.</t>
  </si>
  <si>
    <t xml:space="preserve">REAL DISTRIBUIDORA DE UTILIDADES LTDA</t>
  </si>
  <si>
    <t xml:space="preserve">REAL DISTRIBUIDORA</t>
  </si>
  <si>
    <t xml:space="preserve">63.377.488/0001-90</t>
  </si>
  <si>
    <t xml:space="preserve">Organização 29% | Potes 18% | Lixeiras 15%</t>
  </si>
  <si>
    <t xml:space="preserve">JMR DISTRIBUIDORA DE UTENSILIOS LTDA</t>
  </si>
  <si>
    <t xml:space="preserve">JMR DISTRIBUIDORA</t>
  </si>
  <si>
    <t xml:space="preserve">59.818.078/0001-60</t>
  </si>
  <si>
    <t xml:space="preserve">ESTEVANY</t>
  </si>
  <si>
    <t xml:space="preserve">Organização 21% | Limpeza 9% | Micro-ondas 9%</t>
  </si>
  <si>
    <t xml:space="preserve">RECOM COMERCIO E DISTRIBUICAO DE PRODUTO</t>
  </si>
  <si>
    <t xml:space="preserve">COMERCIAL RECOM</t>
  </si>
  <si>
    <t xml:space="preserve">27.232.368/0001-31</t>
  </si>
  <si>
    <t xml:space="preserve">Guaçuí</t>
  </si>
  <si>
    <t xml:space="preserve">Frasqueiras 91% | Organização 5% | Infantil 2%</t>
  </si>
  <si>
    <t xml:space="preserve">Quase só frasqueiras.</t>
  </si>
  <si>
    <t xml:space="preserve">VIABILIZA COMERCIAL ATACADISTA LTDA</t>
  </si>
  <si>
    <t xml:space="preserve">VIABILIZA ATACADISTA</t>
  </si>
  <si>
    <t xml:space="preserve">53.523.812/0001-88</t>
  </si>
  <si>
    <t xml:space="preserve">PV0004 - TABELA ESPECIAL RED</t>
  </si>
  <si>
    <t xml:space="preserve">Cozinha 45% | Potes 43% | Micro-ondas 13%</t>
  </si>
  <si>
    <t xml:space="preserve">REJUVI ATACADISTA LTDA</t>
  </si>
  <si>
    <t xml:space="preserve">REJUVI ATACADISTA</t>
  </si>
  <si>
    <t xml:space="preserve">53.824.879/0001-52</t>
  </si>
  <si>
    <t xml:space="preserve">Iracemápolis</t>
  </si>
  <si>
    <t xml:space="preserve">JOSÉ C LEAL</t>
  </si>
  <si>
    <t xml:space="preserve">Infantil 100%</t>
  </si>
  <si>
    <t xml:space="preserve">1ª compra abr/26, só Linha Infantil.</t>
  </si>
  <si>
    <t xml:space="preserve">DISTRIBUIDORA CANABARRO LTDA</t>
  </si>
  <si>
    <t xml:space="preserve">DISTRIBUIDORA CANABARRO</t>
  </si>
  <si>
    <t xml:space="preserve">13.447.000/0001-86</t>
  </si>
  <si>
    <t xml:space="preserve">Guarapari</t>
  </si>
  <si>
    <t xml:space="preserve">STAR DISTRIBUIDORA DE UTILIDADES E BRINQ</t>
  </si>
  <si>
    <t xml:space="preserve">STAR DISTRIBUIDORA</t>
  </si>
  <si>
    <t xml:space="preserve">54.734.384/0001-03</t>
  </si>
  <si>
    <t xml:space="preserve">São José do Rio Preto</t>
  </si>
  <si>
    <t xml:space="preserve">Lixeiras 37% | Cozinha 22% | Potes 17%</t>
  </si>
  <si>
    <t xml:space="preserve">QUALIVIDROS DISTRIBUIDORA LTDA</t>
  </si>
  <si>
    <t xml:space="preserve">QUALIVIDROS</t>
  </si>
  <si>
    <t xml:space="preserve">06.003.551/0001-95</t>
  </si>
  <si>
    <t xml:space="preserve">Passos</t>
  </si>
  <si>
    <t xml:space="preserve">TABELA CIF MG DEMAIS CIDADES</t>
  </si>
  <si>
    <t xml:space="preserve">Organização 100%</t>
  </si>
  <si>
    <t xml:space="preserve">DISTRIBUIDORA RIBEIRO LTDA</t>
  </si>
  <si>
    <t xml:space="preserve">DISTRIBUIDORA RIBEIRO</t>
  </si>
  <si>
    <t xml:space="preserve">53.449.341/0001-05</t>
  </si>
  <si>
    <t xml:space="preserve">Organização 80% | Infantil 9% | Banheiro 4%</t>
  </si>
  <si>
    <t xml:space="preserve">Cadastro INATIVO no ERP: reativar antes de faturar.</t>
  </si>
  <si>
    <t xml:space="preserve">DISTRIBUIDORA DE PAPEIS RAFAEL LTDA - EPP</t>
  </si>
  <si>
    <t xml:space="preserve">PAPEIS RAFAEL</t>
  </si>
  <si>
    <t xml:space="preserve">18.371.526/0001-43</t>
  </si>
  <si>
    <t xml:space="preserve">Sete Lagoas</t>
  </si>
  <si>
    <t xml:space="preserve">ANNA CAROLINA</t>
  </si>
  <si>
    <t xml:space="preserve">Lixeiras 30% | Organização 30% | Potes 28%</t>
  </si>
  <si>
    <t xml:space="preserve">SACRAMOMENTO ATACADISTA EIRELI</t>
  </si>
  <si>
    <t xml:space="preserve">SACRAMOMENTO ATACADISTA</t>
  </si>
  <si>
    <t xml:space="preserve">09.192.407/0001-32</t>
  </si>
  <si>
    <t xml:space="preserve">Organização 27% | Jarras 23% | Lixeiras 14%</t>
  </si>
  <si>
    <t xml:space="preserve">ACESSO COMERCIAL, DISTRIBUIDORA E SERVIC</t>
  </si>
  <si>
    <t xml:space="preserve">MIX LAR</t>
  </si>
  <si>
    <t xml:space="preserve">28.985.346/0001-05</t>
  </si>
  <si>
    <t xml:space="preserve">Cozinha 35% | Potes 26% | Limpeza 21%</t>
  </si>
  <si>
    <t xml:space="preserve">SINERGIA ATACADISTA LTDA</t>
  </si>
  <si>
    <t xml:space="preserve">SINERGIA ATACADISTA</t>
  </si>
  <si>
    <t xml:space="preserve">08.298.936/0001-52</t>
  </si>
  <si>
    <t xml:space="preserve">Vila Velha</t>
  </si>
  <si>
    <t xml:space="preserve">XAVIER</t>
  </si>
  <si>
    <t xml:space="preserve">FEM DISTRIBUIDORA E IMPORTADORA LTDA</t>
  </si>
  <si>
    <t xml:space="preserve">FEM DISTRIBUIDORA</t>
  </si>
  <si>
    <t xml:space="preserve">28.044.775/0001-88</t>
  </si>
  <si>
    <t xml:space="preserve">Santos</t>
  </si>
  <si>
    <t xml:space="preserve">NT DISTRIBUICAO LTDA</t>
  </si>
  <si>
    <t xml:space="preserve">NT DISTRIBUICAO</t>
  </si>
  <si>
    <t xml:space="preserve">38.485.048/0001-00</t>
  </si>
  <si>
    <t xml:space="preserve">Nazaré Paulista</t>
  </si>
  <si>
    <t xml:space="preserve">Potes 94% | Organização 3% | Cozinha 3%</t>
  </si>
  <si>
    <t xml:space="preserve">V R ESTRELA DISTRIBUIDORA DE UTILIDADES</t>
  </si>
  <si>
    <t xml:space="preserve">LOJA BELLATRIZ</t>
  </si>
  <si>
    <t xml:space="preserve">37.268.552/0001-95</t>
  </si>
  <si>
    <t xml:space="preserve">Vespasiano</t>
  </si>
  <si>
    <t xml:space="preserve">Cozinha 46% | Potes 16% | Banheiro 13%</t>
  </si>
  <si>
    <t xml:space="preserve">MAX COMERCIO E DISTRIBUICAO DE ALIMENTOS</t>
  </si>
  <si>
    <t xml:space="preserve">MAX COMERCIO</t>
  </si>
  <si>
    <t xml:space="preserve">04.516.447/0001-79</t>
  </si>
  <si>
    <t xml:space="preserve">Potes 54% | Jarras 11% | Lixeiras 11%</t>
  </si>
  <si>
    <t xml:space="preserve">DATA DISTRIBUIDORA LTDA</t>
  </si>
  <si>
    <t xml:space="preserve">DATA DISTRIBUIDORA</t>
  </si>
  <si>
    <t xml:space="preserve">54.322.975/0001-65</t>
  </si>
  <si>
    <t xml:space="preserve">LUCIANA MITIE</t>
  </si>
  <si>
    <t xml:space="preserve">Teca Organização 24% | Potes 23% | ECO 18%</t>
  </si>
  <si>
    <t xml:space="preserve">PACTO IMPORTADORA E DISTRIBUIDORA LTDA</t>
  </si>
  <si>
    <t xml:space="preserve">MVSTORE SHOP</t>
  </si>
  <si>
    <t xml:space="preserve">49.166.985/0001-19</t>
  </si>
  <si>
    <t xml:space="preserve">Itatiba</t>
  </si>
  <si>
    <t xml:space="preserve">FORMOSA DISTRIBUIDORA DE UTILIDADES DOMESTICAS - EIRELI</t>
  </si>
  <si>
    <t xml:space="preserve">FORMOSA DISTRIBUIDORA</t>
  </si>
  <si>
    <t xml:space="preserve">16.798.922/0001-26</t>
  </si>
  <si>
    <t xml:space="preserve">MAURO</t>
  </si>
  <si>
    <t xml:space="preserve">Cozinha 37% | Lixeiras 18% | Organização 16%</t>
  </si>
  <si>
    <t xml:space="preserve">DISTRIBUIDORA DE UTILIDADES DOMESTICAS ROSSATO LTDA</t>
  </si>
  <si>
    <t xml:space="preserve">ROSSATO</t>
  </si>
  <si>
    <t xml:space="preserve">17.060.355/0001-79</t>
  </si>
  <si>
    <t xml:space="preserve">Guarulhos</t>
  </si>
  <si>
    <t xml:space="preserve">MARCIO</t>
  </si>
  <si>
    <t xml:space="preserve">Grd SP e L</t>
  </si>
  <si>
    <t xml:space="preserve">CLUBE NITRON RED 153 VAREJO COMISSÃO 8%</t>
  </si>
  <si>
    <t xml:space="preserve">Organização 30% | Decor-Confeitaria 27% | Lixeiras 14%</t>
  </si>
  <si>
    <t xml:space="preserve">1ª compra jul/26 em tabela de varejo: avaliar tabela de distribuidor.</t>
  </si>
  <si>
    <t xml:space="preserve">LOTUS CENTRAL DE DISTRIBUICAO DE HIGIENICOS LTDA</t>
  </si>
  <si>
    <t xml:space="preserve">SALES DISTRIBUIDORA</t>
  </si>
  <si>
    <t xml:space="preserve">58.055.343/0001-33</t>
  </si>
  <si>
    <t xml:space="preserve">MONICA</t>
  </si>
  <si>
    <t xml:space="preserve">Distribuidora de higiene; 1ª compra jul/26 (só frasqueiras). Fazer a 2ª.</t>
  </si>
  <si>
    <t xml:space="preserve">GECORE COMERCIAL DISTRIBUIDORA LTDA</t>
  </si>
  <si>
    <t xml:space="preserve">GECORE</t>
  </si>
  <si>
    <t xml:space="preserve">27.238.815/0001-60</t>
  </si>
  <si>
    <t xml:space="preserve">Vitória</t>
  </si>
  <si>
    <t xml:space="preserve">Organização 77% | Frasqueiras 10% | Potes 7%</t>
  </si>
  <si>
    <t xml:space="preserve">UD QUALITEC, DISTRIBUIDORA E SERVICOS LTDA</t>
  </si>
  <si>
    <t xml:space="preserve">QUALITEC</t>
  </si>
  <si>
    <t xml:space="preserve">00.567.117/0001-51</t>
  </si>
  <si>
    <t xml:space="preserve">Frasqueiras 33% | Banheiro 23% | Cozinha 17%</t>
  </si>
  <si>
    <t xml:space="preserve">DISTRIBUIDORA 58 DO SAARA LTDA</t>
  </si>
  <si>
    <t xml:space="preserve">58 DO SAARA</t>
  </si>
  <si>
    <t xml:space="preserve">03.123.203/0001-63</t>
  </si>
  <si>
    <t xml:space="preserve">Rio de Janeiro</t>
  </si>
  <si>
    <t xml:space="preserve">RJ</t>
  </si>
  <si>
    <t xml:space="preserve">PAULO HENRIQUE</t>
  </si>
  <si>
    <t xml:space="preserve">Organização 60% | Frasqueiras 24% | Potes 10%</t>
  </si>
  <si>
    <t xml:space="preserve">COLATINA UTILIDADES EIRELI - EPP</t>
  </si>
  <si>
    <t xml:space="preserve">MEGALAR (rede 24 lojas)</t>
  </si>
  <si>
    <t xml:space="preserve">11.293.416/0001-61</t>
  </si>
  <si>
    <t xml:space="preserve">Colatina</t>
  </si>
  <si>
    <t xml:space="preserve">TABELA MEGALAR CLUBE ATACADO CIF</t>
  </si>
  <si>
    <t xml:space="preserve">Organização 32% | Lixeiras 15% | Cozinha 13%</t>
  </si>
  <si>
    <t xml:space="preserve">Rede de 24 lojas sem key account: avaliar se vira KA.</t>
  </si>
  <si>
    <t xml:space="preserve">ACHEI ATACAREJO DO PUTIM LTDA</t>
  </si>
  <si>
    <t xml:space="preserve">ACHEI ATACAREJO (rede 10 lojas)</t>
  </si>
  <si>
    <t xml:space="preserve">48.378.994/0001-00</t>
  </si>
  <si>
    <t xml:space="preserve">São José dos Campos</t>
  </si>
  <si>
    <t xml:space="preserve">ROBERTO</t>
  </si>
  <si>
    <t xml:space="preserve">Organização 44% | Potes 20% | Cozinha 8%</t>
  </si>
  <si>
    <t xml:space="preserve">Atacarejo com 10 lojas.</t>
  </si>
  <si>
    <t xml:space="preserve">ESTILO TOP ONLINE LTDA</t>
  </si>
  <si>
    <t xml:space="preserve">ESTILO TOP ONLINE</t>
  </si>
  <si>
    <t xml:space="preserve">51.959.734/0001-33</t>
  </si>
  <si>
    <t xml:space="preserve">São Bernardo do Campo</t>
  </si>
  <si>
    <t xml:space="preserve">EDSON GRAVINEZ</t>
  </si>
  <si>
    <t xml:space="preserve">Frasqueiras 37% | Micro-ondas 31% | Cozinha 19%</t>
  </si>
  <si>
    <t xml:space="preserve">Revenda online.</t>
  </si>
  <si>
    <t xml:space="preserve">R NICOLETTI COMERCIO DE UTD DOMESTICAS</t>
  </si>
  <si>
    <t xml:space="preserve">MUNDO UD</t>
  </si>
  <si>
    <t xml:space="preserve">41.297.731/0001-28</t>
  </si>
  <si>
    <t xml:space="preserve">PREÇO DE CUSTO INICIAL</t>
  </si>
  <si>
    <t xml:space="preserve">Potes 41% | Organização 14% | Lixeiras 9%</t>
  </si>
  <si>
    <t xml:space="preserve">108 notas pequenas: provável revenda online.</t>
  </si>
  <si>
    <t xml:space="preserve">52.888.479 ALINE DAIANE DOS SANTOS BUOSI</t>
  </si>
  <si>
    <t xml:space="preserve">ALINE DAIANE (MEI)</t>
  </si>
  <si>
    <t xml:space="preserve">52.888.479/0001-48</t>
  </si>
  <si>
    <t xml:space="preserve">Mogi das Cruzes</t>
  </si>
  <si>
    <t xml:space="preserve">Frasqueiras 43% | Potes 32% | Micro-ondas 8%</t>
  </si>
  <si>
    <t xml:space="preserve">MEI revendedora, compra frequente.</t>
  </si>
  <si>
    <t xml:space="preserve">MANIA DO LAR COMERCIO DE UTILIDADES LTDA</t>
  </si>
  <si>
    <t xml:space="preserve">MANIA DO LAR</t>
  </si>
  <si>
    <t xml:space="preserve">16.859.112/0001-32</t>
  </si>
  <si>
    <t xml:space="preserve">Sertãozinho</t>
  </si>
  <si>
    <t xml:space="preserve">SEBASTIAO</t>
  </si>
  <si>
    <t xml:space="preserve">Organização 37% | Potes 17% | Cozinha 9%</t>
  </si>
  <si>
    <t xml:space="preserve">ENOKI PRESENTES BRINQUEDOS E UTILIDADES LTDA</t>
  </si>
  <si>
    <t xml:space="preserve">ENOKI</t>
  </si>
  <si>
    <t xml:space="preserve">35.300.857/0001-01</t>
  </si>
  <si>
    <t xml:space="preserve">Jaboticabal</t>
  </si>
  <si>
    <t xml:space="preserve">Organização 38% | Potes 14% | Lixeiras 13%</t>
  </si>
  <si>
    <t xml:space="preserve">Mesma família da Enokis (Jaboticabal).</t>
  </si>
  <si>
    <t xml:space="preserve">P.V.E. COMERCIO DE UTENSILIOS PARA O LAR</t>
  </si>
  <si>
    <t xml:space="preserve">PVE UTENSILIOS</t>
  </si>
  <si>
    <t xml:space="preserve">10.571.938/0001-15</t>
  </si>
  <si>
    <t xml:space="preserve">Resende</t>
  </si>
  <si>
    <t xml:space="preserve">OSWALDO</t>
  </si>
  <si>
    <t xml:space="preserve">Organização 32% | Cozinha 24% | Lixeiras 16%</t>
  </si>
  <si>
    <t xml:space="preserve">TERESA TANAKA LTDA</t>
  </si>
  <si>
    <t xml:space="preserve">REDE BRINK E LAR</t>
  </si>
  <si>
    <t xml:space="preserve">05.260.418/0001-51</t>
  </si>
  <si>
    <t xml:space="preserve">Presidente Epitácio</t>
  </si>
  <si>
    <t xml:space="preserve">JOSÉ FERNANDO</t>
  </si>
  <si>
    <t xml:space="preserve">Potes 27% | Organização 27% | Cozinha 19%</t>
  </si>
  <si>
    <t xml:space="preserve">ENOKIS PRESENTES E BRINQUEDOS LTDA - ME</t>
  </si>
  <si>
    <t xml:space="preserve">ENOKIS</t>
  </si>
  <si>
    <t xml:space="preserve">07.008.114/0001-27</t>
  </si>
  <si>
    <t xml:space="preserve">Potes 42% | Cozinha 27% | Organização 11%</t>
  </si>
  <si>
    <t xml:space="preserve">Mesma família da Enoki (Jaboticabal).</t>
  </si>
  <si>
    <t xml:space="preserve">A. &amp; I. UTILIDADES DO LAR LTDA.</t>
  </si>
  <si>
    <t xml:space="preserve">A PREFERIDA DO LAR</t>
  </si>
  <si>
    <t xml:space="preserve">04.809.615/0001-14</t>
  </si>
  <si>
    <t xml:space="preserve">Macaé</t>
  </si>
  <si>
    <t xml:space="preserve">Organização 25% | Cozinha 13% | Frasqueiras 12%</t>
  </si>
  <si>
    <t xml:space="preserve">MILTON JOSE NONATO MARQUES ME</t>
  </si>
  <si>
    <t xml:space="preserve">LOJAO DO 9</t>
  </si>
  <si>
    <t xml:space="preserve">19.634.713/0001-35</t>
  </si>
  <si>
    <t xml:space="preserve">Teodoro Sampaio</t>
  </si>
  <si>
    <t xml:space="preserve">Cozinha 31% | Potes 28% | Organização 11%</t>
  </si>
  <si>
    <t xml:space="preserve">FLAVIO G. DUARTE JUNIOR</t>
  </si>
  <si>
    <t xml:space="preserve">FLAVIO DUARTE</t>
  </si>
  <si>
    <t xml:space="preserve">17.982.808/0004-67</t>
  </si>
  <si>
    <t xml:space="preserve">Potes 38% | Cozinha 28% | Organização 15%</t>
  </si>
  <si>
    <t xml:space="preserve">PEDRO CESAR DA SILVA 01329436628</t>
  </si>
  <si>
    <t xml:space="preserve">180 GRAUS</t>
  </si>
  <si>
    <t xml:space="preserve">40.858.075/0001-22</t>
  </si>
  <si>
    <t xml:space="preserve">Patos de Minas</t>
  </si>
  <si>
    <t xml:space="preserve">Potes 28% | Cozinha 21% | Banheiro 18%</t>
  </si>
  <si>
    <t xml:space="preserve">Grupo</t>
  </si>
  <si>
    <t xml:space="preserve">Key account</t>
  </si>
  <si>
    <t xml:space="preserve">Lojas</t>
  </si>
  <si>
    <t xml:space="preserve">Vendedor</t>
  </si>
  <si>
    <t xml:space="preserve">Última compra do grupo</t>
  </si>
  <si>
    <t xml:space="preserve">Leitura</t>
  </si>
  <si>
    <t xml:space="preserve">LOJAS G (PAF UTILIDADES E PRESENTES)</t>
  </si>
  <si>
    <t xml:space="preserve">LOJA G</t>
  </si>
  <si>
    <t xml:space="preserve">SP/MG/RJ</t>
  </si>
  <si>
    <t xml:space="preserve">JOÃO CARLOS</t>
  </si>
  <si>
    <t xml:space="preserve">RICARDO</t>
  </si>
  <si>
    <t xml:space="preserve">60 dias sem pedido no grupo: pode ser só o ciclo, mas é o maior volume da lista. Conferir com o gestor.</t>
  </si>
  <si>
    <t xml:space="preserve">TUBARÃO (MULTI ATACADO / HOMELAR / COMPAG)</t>
  </si>
  <si>
    <t xml:space="preserve">TUBARÃO</t>
  </si>
  <si>
    <t xml:space="preserve">RJ/MG</t>
  </si>
  <si>
    <t xml:space="preserve">Parou depois de 30/06 em todas as lojas: queda de rede inteira, conversa de diretoria.</t>
  </si>
  <si>
    <t xml:space="preserve">ATACADÃO (WMS SUPERMERCADOS)</t>
  </si>
  <si>
    <t xml:space="preserve">ATACADAO</t>
  </si>
  <si>
    <t xml:space="preserve">JULIO SANCHEZ</t>
  </si>
  <si>
    <t xml:space="preserve">Comprou uma vez (jun/25, 68 lojas) e não repetiu.</t>
  </si>
  <si>
    <t xml:space="preserve">ROYAL MAGAZINE (R Y COSMÉTICOS)</t>
  </si>
  <si>
    <t xml:space="preserve">ROYAL MAGAZINE</t>
  </si>
  <si>
    <t xml:space="preserve">Parado desde mai/26.</t>
  </si>
  <si>
    <t xml:space="preserve">LOJAS G - ARAXÁ (CE &amp; CP)</t>
  </si>
  <si>
    <t xml:space="preserve">Mesma bandeira Lojas G.</t>
  </si>
  <si>
    <t xml:space="preserve">G20 IMPORTAÇÃO (GR IMPORTADOS / PIABETA)</t>
  </si>
  <si>
    <t xml:space="preserve">G20 IMPORTACAO</t>
  </si>
  <si>
    <t xml:space="preserve">TIAGO SANTOS</t>
  </si>
  <si>
    <t xml:space="preserve">Comprou 2 vezes em fev/25.</t>
  </si>
  <si>
    <t xml:space="preserve">NEW PAPER (BAZAR OPÇÃO)</t>
  </si>
  <si>
    <t xml:space="preserve">NEW PAPER</t>
  </si>
  <si>
    <t xml:space="preserve">Cliente novo (mar/26), 2 pedidos.</t>
  </si>
  <si>
    <t xml:space="preserve">LOJAS G - BAURU (PAF)</t>
  </si>
  <si>
    <t xml:space="preserve">Empresa</t>
  </si>
  <si>
    <t xml:space="preserve">Cidade/UF</t>
  </si>
  <si>
    <t xml:space="preserve">Por que saiu</t>
  </si>
  <si>
    <t xml:space="preserve">DIMESO S.A.</t>
  </si>
  <si>
    <t xml:space="preserve">Sorocaba/SP</t>
  </si>
  <si>
    <t xml:space="preserve">Distribuidora médico-hospitalar (fora do segmento)</t>
  </si>
  <si>
    <t xml:space="preserve">FERNANDES DISTRIBUIDORA DE PEÇAS ELÉTRICAS AUTOMOTIVAS</t>
  </si>
  <si>
    <t xml:space="preserve">Barueri/SP</t>
  </si>
  <si>
    <t xml:space="preserve">Autopeças (fora do segmento)</t>
  </si>
  <si>
    <t xml:space="preserve">RIO PRETO DISTRIBUIDORA DE VEDAÇÕES</t>
  </si>
  <si>
    <t xml:space="preserve">S. J. Rio Preto/SP</t>
  </si>
  <si>
    <t xml:space="preserve">Vedações industriais (fora do segmento)</t>
  </si>
  <si>
    <t xml:space="preserve">ABS DISTRIBUIDORA - filial Mococa</t>
  </si>
  <si>
    <t xml:space="preserve">Mococa/SP</t>
  </si>
  <si>
    <t xml:space="preserve">Grupo Palmares segue comprando pela filial de Passos/MG</t>
  </si>
  <si>
    <t xml:space="preserve">RIO CENTER DISTRIBUIDORA / OBA RIO</t>
  </si>
  <si>
    <t xml:space="preserve">Rio de Janeiro/RJ</t>
  </si>
  <si>
    <t xml:space="preserve">Grupo Amigão comprou nos últimos 60 dias: tratar com o key account</t>
  </si>
  <si>
    <t xml:space="preserve">Compras &lt; R$ 1.500 em 24 meses (farmácia, livros, bebidas, hortifrúti etc.)</t>
  </si>
  <si>
    <t xml:space="preserve">diversas</t>
  </si>
  <si>
    <t xml:space="preserve">Pedido avulso de site, não é distribuidor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</si>
</sst>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(#,##0\);\-"/>
    <numFmt numFmtId="167" formatCode="dd/mm/yyyy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COUNTA(Distribuidoras!B2:B41)</f>
        <v>40</v>
      </c>
    </row>
    <row r="6" customFormat="false" ht="15" hidden="false" customHeight="false" outlineLevel="0" collapsed="false">
      <c r="A6" s="4" t="s">
        <v>4</v>
      </c>
      <c r="B6" s="5" t="n">
        <f aca="false">COUNTIF(Distribuidoras!A2:A41,"A")</f>
        <v>13</v>
      </c>
    </row>
    <row r="7" customFormat="false" ht="15" hidden="false" customHeight="false" outlineLevel="0" collapsed="false">
      <c r="A7" s="4" t="s">
        <v>5</v>
      </c>
      <c r="B7" s="6" t="n">
        <f aca="false">SUM(Distribuidoras!O2:O41)</f>
        <v>1277662</v>
      </c>
    </row>
    <row r="8" customFormat="false" ht="15" hidden="false" customHeight="false" outlineLevel="0" collapsed="false">
      <c r="A8" s="4" t="s">
        <v>6</v>
      </c>
      <c r="B8" s="5" t="n">
        <f aca="false">COUNTIF(Distribuidoras!J2:J41,"SDR*")</f>
        <v>11</v>
      </c>
    </row>
    <row r="9" customFormat="false" ht="15" hidden="false" customHeight="false" outlineLevel="0" collapsed="false">
      <c r="A9" s="4" t="s">
        <v>7</v>
      </c>
      <c r="B9" s="5" t="n">
        <f aca="false">COUNTA('Lojas em tabela atacado'!B2:B15)</f>
        <v>14</v>
      </c>
    </row>
    <row r="10" customFormat="false" ht="15" hidden="false" customHeight="false" outlineLevel="0" collapsed="false">
      <c r="A10" s="4" t="s">
        <v>5</v>
      </c>
      <c r="B10" s="6" t="n">
        <f aca="false">SUM('Lojas em tabela atacado'!O2:O15)</f>
        <v>687518</v>
      </c>
    </row>
    <row r="11" customFormat="false" ht="15" hidden="false" customHeight="false" outlineLevel="0" collapsed="false">
      <c r="A11" s="4" t="s">
        <v>8</v>
      </c>
      <c r="B11" s="5" t="n">
        <f aca="false">COUNTA('Key accounts (gestor)'!A2:A9)</f>
        <v>8</v>
      </c>
    </row>
    <row r="12" customFormat="false" ht="15" hidden="false" customHeight="false" outlineLevel="0" collapsed="false">
      <c r="A12" s="4" t="s">
        <v>5</v>
      </c>
      <c r="B12" s="6" t="n">
        <f aca="false">SUM('Key accounts (gestor)'!I2:I9)</f>
        <v>5660106</v>
      </c>
    </row>
    <row r="13" customFormat="false" ht="15" hidden="false" customHeight="false" outlineLevel="0" collapsed="false">
      <c r="A13" s="4" t="s">
        <v>9</v>
      </c>
      <c r="B13" s="5" t="n">
        <f aca="false">COUNTIF(Distribuidoras!T2:T41,"Pedido fechado")+COUNTIF('Lojas em tabela atacado'!T2:T15,"Pedido fechado")</f>
        <v>0</v>
      </c>
    </row>
    <row r="14" customFormat="false" ht="15" hidden="false" customHeight="false" outlineLevel="0" collapsed="false">
      <c r="A14" s="4" t="s">
        <v>10</v>
      </c>
      <c r="B14" s="6" t="n">
        <f aca="false">SUM(Distribuidoras!Y2:Y41)+SUM('Lojas em tabela atacado'!Y2:Y15)</f>
        <v>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4" t="s">
        <v>12</v>
      </c>
      <c r="B17" s="5" t="s">
        <v>13</v>
      </c>
    </row>
    <row r="18" customFormat="false" ht="23.85" hidden="false" customHeight="false" outlineLevel="0" collapsed="false">
      <c r="A18" s="4" t="s">
        <v>14</v>
      </c>
      <c r="B18" s="5" t="s">
        <v>15</v>
      </c>
    </row>
    <row r="19" customFormat="false" ht="23.85" hidden="false" customHeight="false" outlineLevel="0" collapsed="false">
      <c r="A19" s="4" t="s">
        <v>16</v>
      </c>
      <c r="B19" s="5" t="s">
        <v>17</v>
      </c>
    </row>
    <row r="20" customFormat="false" ht="15" hidden="false" customHeight="false" outlineLevel="0" collapsed="false">
      <c r="A20" s="4" t="s">
        <v>18</v>
      </c>
      <c r="B20" s="5" t="s">
        <v>19</v>
      </c>
    </row>
    <row r="22" customFormat="false" ht="15" hidden="false" customHeight="false" outlineLevel="0" collapsed="false">
      <c r="A22" s="3" t="s">
        <v>20</v>
      </c>
    </row>
    <row r="23" customFormat="false" ht="23.85" hidden="false" customHeight="false" outlineLevel="0" collapsed="false">
      <c r="A23" s="4" t="s">
        <v>21</v>
      </c>
      <c r="B23" s="5" t="s">
        <v>22</v>
      </c>
    </row>
    <row r="24" customFormat="false" ht="23.85" hidden="false" customHeight="false" outlineLevel="0" collapsed="false">
      <c r="A24" s="4" t="s">
        <v>23</v>
      </c>
      <c r="B24" s="5" t="s">
        <v>24</v>
      </c>
    </row>
    <row r="25" customFormat="false" ht="23.85" hidden="false" customHeight="false" outlineLevel="0" collapsed="false">
      <c r="A25" s="4" t="s">
        <v>25</v>
      </c>
      <c r="B25" s="5" t="s">
        <v>26</v>
      </c>
    </row>
    <row r="26" customFormat="false" ht="23.85" hidden="false" customHeight="false" outlineLevel="0" collapsed="false">
      <c r="A26" s="4" t="s">
        <v>27</v>
      </c>
      <c r="B26" s="5" t="s">
        <v>28</v>
      </c>
    </row>
    <row r="27" customFormat="false" ht="23.85" hidden="false" customHeight="false" outlineLevel="0" collapsed="false">
      <c r="A27" s="4" t="s">
        <v>29</v>
      </c>
      <c r="B27" s="5" t="s">
        <v>30</v>
      </c>
    </row>
    <row r="29" customFormat="false" ht="15" hidden="false" customHeight="false" outlineLevel="0" collapsed="false">
      <c r="A29" s="3" t="s">
        <v>31</v>
      </c>
    </row>
    <row r="30" customFormat="false" ht="23.85" hidden="false" customHeight="false" outlineLevel="0" collapsed="false">
      <c r="A30" s="4" t="s">
        <v>32</v>
      </c>
      <c r="B30" s="5" t="s">
        <v>33</v>
      </c>
    </row>
    <row r="31" customFormat="false" ht="23.85" hidden="false" customHeight="false" outlineLevel="0" collapsed="false">
      <c r="A31" s="4" t="s">
        <v>34</v>
      </c>
      <c r="B31" s="5" t="s">
        <v>35</v>
      </c>
    </row>
    <row r="32" customFormat="false" ht="23.85" hidden="false" customHeight="false" outlineLevel="0" collapsed="false">
      <c r="A32" s="4" t="s">
        <v>36</v>
      </c>
      <c r="B32" s="5" t="s">
        <v>37</v>
      </c>
    </row>
    <row r="33" customFormat="false" ht="15" hidden="false" customHeight="false" outlineLevel="0" collapsed="false">
      <c r="A33" s="4" t="s">
        <v>38</v>
      </c>
      <c r="B33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5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8" min="18" style="0" width="42"/>
    <col collapsed="false" customWidth="true" hidden="false" outlineLevel="0" max="19" min="19" style="0" width="48"/>
    <col collapsed="false" customWidth="true" hidden="false" outlineLevel="0" max="20" min="20" style="0" width="18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28"/>
    <col collapsed="false" customWidth="true" hidden="false" outlineLevel="0" max="24" min="24" style="0" width="30"/>
    <col collapsed="false" customWidth="true" hidden="false" outlineLevel="0" max="25" min="25" style="0" width="14"/>
  </cols>
  <sheetData>
    <row r="1" customFormat="false" ht="31.5" hidden="false" customHeight="true" outlineLevel="0" collapsed="false">
      <c r="A1" s="7" t="s">
        <v>18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23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</row>
    <row r="2" customFormat="false" ht="23.85" hidden="false" customHeight="false" outlineLevel="0" collapsed="false">
      <c r="A2" s="8" t="str">
        <f aca="false">IF(O2&gt;=20000,"A",IF(O2&gt;=5000,"B","C"))</f>
        <v>A</v>
      </c>
      <c r="B2" s="9" t="s">
        <v>63</v>
      </c>
      <c r="C2" s="9" t="s">
        <v>64</v>
      </c>
      <c r="D2" s="10" t="s">
        <v>65</v>
      </c>
      <c r="E2" s="10" t="s">
        <v>66</v>
      </c>
      <c r="F2" s="10" t="s">
        <v>67</v>
      </c>
      <c r="G2" s="10" t="n">
        <v>1</v>
      </c>
      <c r="H2" s="10" t="s">
        <v>68</v>
      </c>
      <c r="I2" s="10" t="s">
        <v>69</v>
      </c>
      <c r="J2" s="10" t="s">
        <v>70</v>
      </c>
      <c r="K2" s="10" t="s">
        <v>71</v>
      </c>
      <c r="L2" s="11" t="n">
        <v>45608</v>
      </c>
      <c r="M2" s="11" t="n">
        <v>46218</v>
      </c>
      <c r="N2" s="12" t="n">
        <f aca="true">TODAY()-M2</f>
        <v>104</v>
      </c>
      <c r="O2" s="13" t="n">
        <v>526691</v>
      </c>
      <c r="P2" s="10" t="n">
        <v>51</v>
      </c>
      <c r="Q2" s="13" t="n">
        <f aca="false">IF(P2&gt;0,O2/P2,0)</f>
        <v>10327.2745098039</v>
      </c>
      <c r="R2" s="9" t="s">
        <v>72</v>
      </c>
      <c r="S2" s="9" t="s">
        <v>73</v>
      </c>
      <c r="T2" s="14" t="s">
        <v>74</v>
      </c>
      <c r="U2" s="15"/>
      <c r="V2" s="14"/>
      <c r="W2" s="16"/>
      <c r="X2" s="16"/>
      <c r="Y2" s="17"/>
    </row>
    <row r="3" customFormat="false" ht="23.85" hidden="false" customHeight="false" outlineLevel="0" collapsed="false">
      <c r="A3" s="8" t="str">
        <f aca="false">IF(O3&gt;=20000,"A",IF(O3&gt;=5000,"B","C"))</f>
        <v>A</v>
      </c>
      <c r="B3" s="9" t="s">
        <v>75</v>
      </c>
      <c r="C3" s="9" t="s">
        <v>76</v>
      </c>
      <c r="D3" s="10" t="s">
        <v>77</v>
      </c>
      <c r="E3" s="10" t="s">
        <v>78</v>
      </c>
      <c r="F3" s="10" t="s">
        <v>67</v>
      </c>
      <c r="G3" s="10" t="n">
        <v>1</v>
      </c>
      <c r="H3" s="10" t="s">
        <v>68</v>
      </c>
      <c r="I3" s="10" t="s">
        <v>79</v>
      </c>
      <c r="J3" s="10" t="s">
        <v>70</v>
      </c>
      <c r="K3" s="10" t="s">
        <v>80</v>
      </c>
      <c r="L3" s="11" t="n">
        <v>45776</v>
      </c>
      <c r="M3" s="11" t="n">
        <v>46162</v>
      </c>
      <c r="N3" s="12" t="n">
        <f aca="true">TODAY()-M3</f>
        <v>160</v>
      </c>
      <c r="O3" s="13" t="n">
        <v>87408</v>
      </c>
      <c r="P3" s="10" t="n">
        <v>19</v>
      </c>
      <c r="Q3" s="13" t="n">
        <f aca="false">IF(P3&gt;0,O3/P3,0)</f>
        <v>4600.42105263158</v>
      </c>
      <c r="R3" s="9" t="s">
        <v>81</v>
      </c>
      <c r="S3" s="9" t="s">
        <v>82</v>
      </c>
      <c r="T3" s="14" t="s">
        <v>74</v>
      </c>
      <c r="U3" s="15"/>
      <c r="V3" s="14"/>
      <c r="W3" s="16"/>
      <c r="X3" s="16"/>
      <c r="Y3" s="17"/>
    </row>
    <row r="4" customFormat="false" ht="23.85" hidden="false" customHeight="false" outlineLevel="0" collapsed="false">
      <c r="A4" s="8" t="str">
        <f aca="false">IF(O4&gt;=20000,"A",IF(O4&gt;=5000,"B","C"))</f>
        <v>A</v>
      </c>
      <c r="B4" s="9" t="s">
        <v>83</v>
      </c>
      <c r="C4" s="9" t="s">
        <v>84</v>
      </c>
      <c r="D4" s="10" t="s">
        <v>85</v>
      </c>
      <c r="E4" s="10" t="s">
        <v>78</v>
      </c>
      <c r="F4" s="10" t="s">
        <v>67</v>
      </c>
      <c r="G4" s="10" t="n">
        <v>2</v>
      </c>
      <c r="H4" s="10" t="s">
        <v>86</v>
      </c>
      <c r="I4" s="10" t="s">
        <v>79</v>
      </c>
      <c r="J4" s="10" t="s">
        <v>87</v>
      </c>
      <c r="K4" s="10" t="s">
        <v>88</v>
      </c>
      <c r="L4" s="11" t="n">
        <v>45595</v>
      </c>
      <c r="M4" s="11" t="n">
        <v>46168</v>
      </c>
      <c r="N4" s="12" t="n">
        <f aca="true">TODAY()-M4</f>
        <v>154</v>
      </c>
      <c r="O4" s="13" t="n">
        <v>67004</v>
      </c>
      <c r="P4" s="10" t="n">
        <v>27</v>
      </c>
      <c r="Q4" s="13" t="n">
        <f aca="false">IF(P4&gt;0,O4/P4,0)</f>
        <v>2481.62962962963</v>
      </c>
      <c r="R4" s="9" t="s">
        <v>89</v>
      </c>
      <c r="S4" s="9" t="s">
        <v>90</v>
      </c>
      <c r="T4" s="14" t="s">
        <v>74</v>
      </c>
      <c r="U4" s="15"/>
      <c r="V4" s="14"/>
      <c r="W4" s="16"/>
      <c r="X4" s="16"/>
      <c r="Y4" s="17"/>
    </row>
    <row r="5" customFormat="false" ht="23.85" hidden="false" customHeight="false" outlineLevel="0" collapsed="false">
      <c r="A5" s="8" t="str">
        <f aca="false">IF(O5&gt;=20000,"A",IF(O5&gt;=5000,"B","C"))</f>
        <v>A</v>
      </c>
      <c r="B5" s="9" t="s">
        <v>91</v>
      </c>
      <c r="C5" s="9" t="s">
        <v>92</v>
      </c>
      <c r="D5" s="10" t="s">
        <v>93</v>
      </c>
      <c r="E5" s="10" t="s">
        <v>94</v>
      </c>
      <c r="F5" s="10" t="s">
        <v>95</v>
      </c>
      <c r="G5" s="10" t="n">
        <v>4</v>
      </c>
      <c r="H5" s="10" t="s">
        <v>96</v>
      </c>
      <c r="I5" s="10" t="s">
        <v>97</v>
      </c>
      <c r="J5" s="10" t="s">
        <v>70</v>
      </c>
      <c r="K5" s="10" t="s">
        <v>88</v>
      </c>
      <c r="L5" s="11" t="n">
        <v>45609</v>
      </c>
      <c r="M5" s="11" t="n">
        <v>45952</v>
      </c>
      <c r="N5" s="12" t="n">
        <f aca="true">TODAY()-M5</f>
        <v>370</v>
      </c>
      <c r="O5" s="13" t="n">
        <v>65849</v>
      </c>
      <c r="P5" s="10" t="n">
        <v>11</v>
      </c>
      <c r="Q5" s="13" t="n">
        <f aca="false">IF(P5&gt;0,O5/P5,0)</f>
        <v>5986.27272727273</v>
      </c>
      <c r="R5" s="9" t="s">
        <v>98</v>
      </c>
      <c r="S5" s="9" t="s">
        <v>99</v>
      </c>
      <c r="T5" s="14" t="s">
        <v>74</v>
      </c>
      <c r="U5" s="15"/>
      <c r="V5" s="14"/>
      <c r="W5" s="16"/>
      <c r="X5" s="16"/>
      <c r="Y5" s="17"/>
    </row>
    <row r="6" customFormat="false" ht="15" hidden="false" customHeight="false" outlineLevel="0" collapsed="false">
      <c r="A6" s="8" t="str">
        <f aca="false">IF(O6&gt;=20000,"A",IF(O6&gt;=5000,"B","C"))</f>
        <v>A</v>
      </c>
      <c r="B6" s="9" t="s">
        <v>100</v>
      </c>
      <c r="C6" s="9" t="s">
        <v>101</v>
      </c>
      <c r="D6" s="10" t="s">
        <v>102</v>
      </c>
      <c r="E6" s="10" t="s">
        <v>103</v>
      </c>
      <c r="F6" s="10" t="s">
        <v>67</v>
      </c>
      <c r="G6" s="10" t="n">
        <v>2</v>
      </c>
      <c r="H6" s="10" t="s">
        <v>104</v>
      </c>
      <c r="I6" s="10" t="s">
        <v>105</v>
      </c>
      <c r="J6" s="10" t="s">
        <v>70</v>
      </c>
      <c r="K6" s="10" t="s">
        <v>106</v>
      </c>
      <c r="L6" s="11" t="n">
        <v>45665</v>
      </c>
      <c r="M6" s="11" t="n">
        <v>46098</v>
      </c>
      <c r="N6" s="12" t="n">
        <f aca="true">TODAY()-M6</f>
        <v>224</v>
      </c>
      <c r="O6" s="13" t="n">
        <v>56349</v>
      </c>
      <c r="P6" s="10" t="n">
        <v>6</v>
      </c>
      <c r="Q6" s="13" t="n">
        <f aca="false">IF(P6&gt;0,O6/P6,0)</f>
        <v>9391.5</v>
      </c>
      <c r="R6" s="9" t="s">
        <v>81</v>
      </c>
      <c r="S6" s="9" t="s">
        <v>107</v>
      </c>
      <c r="T6" s="14" t="s">
        <v>74</v>
      </c>
      <c r="U6" s="15"/>
      <c r="V6" s="14"/>
      <c r="W6" s="16"/>
      <c r="X6" s="16"/>
      <c r="Y6" s="17"/>
    </row>
    <row r="7" customFormat="false" ht="23.85" hidden="false" customHeight="false" outlineLevel="0" collapsed="false">
      <c r="A7" s="8" t="str">
        <f aca="false">IF(O7&gt;=20000,"A",IF(O7&gt;=5000,"B","C"))</f>
        <v>A</v>
      </c>
      <c r="B7" s="9" t="s">
        <v>108</v>
      </c>
      <c r="C7" s="9" t="s">
        <v>109</v>
      </c>
      <c r="D7" s="10" t="s">
        <v>110</v>
      </c>
      <c r="E7" s="10" t="s">
        <v>78</v>
      </c>
      <c r="F7" s="10" t="s">
        <v>67</v>
      </c>
      <c r="G7" s="10" t="n">
        <v>1</v>
      </c>
      <c r="H7" s="10" t="s">
        <v>104</v>
      </c>
      <c r="I7" s="10" t="s">
        <v>111</v>
      </c>
      <c r="J7" s="10" t="s">
        <v>70</v>
      </c>
      <c r="K7" s="10" t="s">
        <v>88</v>
      </c>
      <c r="L7" s="11" t="n">
        <v>45615</v>
      </c>
      <c r="M7" s="11" t="n">
        <v>46245</v>
      </c>
      <c r="N7" s="12" t="n">
        <f aca="true">TODAY()-M7</f>
        <v>77</v>
      </c>
      <c r="O7" s="13" t="n">
        <v>55014</v>
      </c>
      <c r="P7" s="10" t="n">
        <v>14</v>
      </c>
      <c r="Q7" s="13" t="n">
        <f aca="false">IF(P7&gt;0,O7/P7,0)</f>
        <v>3929.57142857143</v>
      </c>
      <c r="R7" s="9" t="s">
        <v>112</v>
      </c>
      <c r="S7" s="9" t="s">
        <v>113</v>
      </c>
      <c r="T7" s="14" t="s">
        <v>74</v>
      </c>
      <c r="U7" s="15"/>
      <c r="V7" s="14"/>
      <c r="W7" s="16"/>
      <c r="X7" s="16"/>
      <c r="Y7" s="17"/>
    </row>
    <row r="8" customFormat="false" ht="15" hidden="false" customHeight="false" outlineLevel="0" collapsed="false">
      <c r="A8" s="8" t="str">
        <f aca="false">IF(O8&gt;=20000,"A",IF(O8&gt;=5000,"B","C"))</f>
        <v>A</v>
      </c>
      <c r="B8" s="9" t="s">
        <v>114</v>
      </c>
      <c r="C8" s="9" t="s">
        <v>115</v>
      </c>
      <c r="D8" s="10" t="s">
        <v>116</v>
      </c>
      <c r="E8" s="10" t="s">
        <v>117</v>
      </c>
      <c r="F8" s="10" t="s">
        <v>118</v>
      </c>
      <c r="G8" s="10" t="n">
        <v>1</v>
      </c>
      <c r="H8" s="10" t="s">
        <v>119</v>
      </c>
      <c r="I8" s="10" t="s">
        <v>97</v>
      </c>
      <c r="J8" s="10" t="s">
        <v>70</v>
      </c>
      <c r="K8" s="10" t="s">
        <v>120</v>
      </c>
      <c r="L8" s="11" t="n">
        <v>45632</v>
      </c>
      <c r="M8" s="11" t="n">
        <v>46202</v>
      </c>
      <c r="N8" s="12" t="n">
        <f aca="true">TODAY()-M8</f>
        <v>120</v>
      </c>
      <c r="O8" s="13" t="n">
        <v>53916</v>
      </c>
      <c r="P8" s="10" t="n">
        <v>5</v>
      </c>
      <c r="Q8" s="13" t="n">
        <f aca="false">IF(P8&gt;0,O8/P8,0)</f>
        <v>10783.2</v>
      </c>
      <c r="R8" s="9" t="s">
        <v>121</v>
      </c>
      <c r="S8" s="9"/>
      <c r="T8" s="14" t="s">
        <v>74</v>
      </c>
      <c r="U8" s="15"/>
      <c r="V8" s="14"/>
      <c r="W8" s="16"/>
      <c r="X8" s="16"/>
      <c r="Y8" s="17"/>
    </row>
    <row r="9" customFormat="false" ht="15" hidden="false" customHeight="false" outlineLevel="0" collapsed="false">
      <c r="A9" s="8" t="str">
        <f aca="false">IF(O9&gt;=20000,"A",IF(O9&gt;=5000,"B","C"))</f>
        <v>A</v>
      </c>
      <c r="B9" s="9" t="s">
        <v>122</v>
      </c>
      <c r="C9" s="9" t="s">
        <v>123</v>
      </c>
      <c r="D9" s="10" t="s">
        <v>124</v>
      </c>
      <c r="E9" s="10" t="s">
        <v>125</v>
      </c>
      <c r="F9" s="10" t="s">
        <v>118</v>
      </c>
      <c r="G9" s="10" t="n">
        <v>2</v>
      </c>
      <c r="H9" s="10" t="s">
        <v>119</v>
      </c>
      <c r="I9" s="10" t="s">
        <v>97</v>
      </c>
      <c r="J9" s="10" t="s">
        <v>70</v>
      </c>
      <c r="K9" s="10" t="s">
        <v>71</v>
      </c>
      <c r="L9" s="11" t="n">
        <v>45786</v>
      </c>
      <c r="M9" s="11" t="n">
        <v>46224</v>
      </c>
      <c r="N9" s="12" t="n">
        <f aca="true">TODAY()-M9</f>
        <v>98</v>
      </c>
      <c r="O9" s="13" t="n">
        <v>48349</v>
      </c>
      <c r="P9" s="10" t="n">
        <v>4</v>
      </c>
      <c r="Q9" s="13" t="n">
        <f aca="false">IF(P9&gt;0,O9/P9,0)</f>
        <v>12087.25</v>
      </c>
      <c r="R9" s="9" t="s">
        <v>126</v>
      </c>
      <c r="S9" s="9"/>
      <c r="T9" s="14" t="s">
        <v>74</v>
      </c>
      <c r="U9" s="15"/>
      <c r="V9" s="14"/>
      <c r="W9" s="16"/>
      <c r="X9" s="16"/>
      <c r="Y9" s="17"/>
    </row>
    <row r="10" customFormat="false" ht="15" hidden="false" customHeight="false" outlineLevel="0" collapsed="false">
      <c r="A10" s="8" t="str">
        <f aca="false">IF(O10&gt;=20000,"A",IF(O10&gt;=5000,"B","C"))</f>
        <v>A</v>
      </c>
      <c r="B10" s="9" t="s">
        <v>127</v>
      </c>
      <c r="C10" s="9" t="s">
        <v>128</v>
      </c>
      <c r="D10" s="10" t="s">
        <v>129</v>
      </c>
      <c r="E10" s="10" t="s">
        <v>130</v>
      </c>
      <c r="F10" s="10" t="s">
        <v>67</v>
      </c>
      <c r="G10" s="10" t="n">
        <v>3</v>
      </c>
      <c r="H10" s="10" t="s">
        <v>131</v>
      </c>
      <c r="I10" s="10" t="s">
        <v>79</v>
      </c>
      <c r="J10" s="10" t="s">
        <v>87</v>
      </c>
      <c r="K10" s="10" t="s">
        <v>88</v>
      </c>
      <c r="L10" s="11" t="n">
        <v>45607</v>
      </c>
      <c r="M10" s="11" t="n">
        <v>46086</v>
      </c>
      <c r="N10" s="12" t="n">
        <f aca="true">TODAY()-M10</f>
        <v>236</v>
      </c>
      <c r="O10" s="13" t="n">
        <v>40555</v>
      </c>
      <c r="P10" s="10" t="n">
        <v>7</v>
      </c>
      <c r="Q10" s="13" t="n">
        <f aca="false">IF(P10&gt;0,O10/P10,0)</f>
        <v>5793.57142857143</v>
      </c>
      <c r="R10" s="9" t="s">
        <v>132</v>
      </c>
      <c r="S10" s="9" t="s">
        <v>133</v>
      </c>
      <c r="T10" s="14" t="s">
        <v>74</v>
      </c>
      <c r="U10" s="15"/>
      <c r="V10" s="14"/>
      <c r="W10" s="16"/>
      <c r="X10" s="16"/>
      <c r="Y10" s="17"/>
    </row>
    <row r="11" customFormat="false" ht="15" hidden="false" customHeight="false" outlineLevel="0" collapsed="false">
      <c r="A11" s="8" t="str">
        <f aca="false">IF(O11&gt;=20000,"A",IF(O11&gt;=5000,"B","C"))</f>
        <v>A</v>
      </c>
      <c r="B11" s="9" t="s">
        <v>134</v>
      </c>
      <c r="C11" s="9" t="s">
        <v>135</v>
      </c>
      <c r="D11" s="10" t="s">
        <v>136</v>
      </c>
      <c r="E11" s="10" t="s">
        <v>137</v>
      </c>
      <c r="F11" s="10" t="s">
        <v>95</v>
      </c>
      <c r="G11" s="10" t="n">
        <v>1</v>
      </c>
      <c r="H11" s="10" t="s">
        <v>138</v>
      </c>
      <c r="I11" s="10" t="s">
        <v>97</v>
      </c>
      <c r="J11" s="10" t="s">
        <v>70</v>
      </c>
      <c r="K11" s="10" t="s">
        <v>88</v>
      </c>
      <c r="L11" s="11" t="n">
        <v>45612</v>
      </c>
      <c r="M11" s="11" t="n">
        <v>45957</v>
      </c>
      <c r="N11" s="12" t="n">
        <f aca="true">TODAY()-M11</f>
        <v>365</v>
      </c>
      <c r="O11" s="13" t="n">
        <v>29572</v>
      </c>
      <c r="P11" s="10" t="n">
        <v>3</v>
      </c>
      <c r="Q11" s="13" t="n">
        <f aca="false">IF(P11&gt;0,O11/P11,0)</f>
        <v>9857.33333333333</v>
      </c>
      <c r="R11" s="9" t="s">
        <v>139</v>
      </c>
      <c r="S11" s="9"/>
      <c r="T11" s="14" t="s">
        <v>74</v>
      </c>
      <c r="U11" s="15"/>
      <c r="V11" s="14"/>
      <c r="W11" s="16"/>
      <c r="X11" s="16"/>
      <c r="Y11" s="17"/>
    </row>
    <row r="12" customFormat="false" ht="23.85" hidden="false" customHeight="false" outlineLevel="0" collapsed="false">
      <c r="A12" s="8" t="str">
        <f aca="false">IF(O12&gt;=20000,"A",IF(O12&gt;=5000,"B","C"))</f>
        <v>A</v>
      </c>
      <c r="B12" s="9" t="s">
        <v>140</v>
      </c>
      <c r="C12" s="9" t="s">
        <v>141</v>
      </c>
      <c r="D12" s="10" t="s">
        <v>142</v>
      </c>
      <c r="E12" s="10" t="s">
        <v>143</v>
      </c>
      <c r="F12" s="10" t="s">
        <v>118</v>
      </c>
      <c r="G12" s="10" t="n">
        <v>1</v>
      </c>
      <c r="H12" s="10" t="s">
        <v>144</v>
      </c>
      <c r="I12" s="10" t="s">
        <v>97</v>
      </c>
      <c r="J12" s="10" t="s">
        <v>70</v>
      </c>
      <c r="K12" s="10" t="s">
        <v>71</v>
      </c>
      <c r="L12" s="11" t="n">
        <v>45636</v>
      </c>
      <c r="M12" s="11" t="n">
        <v>46008</v>
      </c>
      <c r="N12" s="12" t="n">
        <f aca="true">TODAY()-M12</f>
        <v>314</v>
      </c>
      <c r="O12" s="13" t="n">
        <v>28760</v>
      </c>
      <c r="P12" s="10" t="n">
        <v>5</v>
      </c>
      <c r="Q12" s="13" t="n">
        <f aca="false">IF(P12&gt;0,O12/P12,0)</f>
        <v>5752</v>
      </c>
      <c r="R12" s="9" t="s">
        <v>145</v>
      </c>
      <c r="S12" s="9"/>
      <c r="T12" s="14" t="s">
        <v>74</v>
      </c>
      <c r="U12" s="15"/>
      <c r="V12" s="14"/>
      <c r="W12" s="16"/>
      <c r="X12" s="16"/>
      <c r="Y12" s="17"/>
    </row>
    <row r="13" customFormat="false" ht="23.85" hidden="false" customHeight="false" outlineLevel="0" collapsed="false">
      <c r="A13" s="8" t="str">
        <f aca="false">IF(O13&gt;=20000,"A",IF(O13&gt;=5000,"B","C"))</f>
        <v>A</v>
      </c>
      <c r="B13" s="9" t="s">
        <v>146</v>
      </c>
      <c r="C13" s="9" t="s">
        <v>147</v>
      </c>
      <c r="D13" s="10" t="s">
        <v>148</v>
      </c>
      <c r="E13" s="10" t="s">
        <v>149</v>
      </c>
      <c r="F13" s="10" t="s">
        <v>118</v>
      </c>
      <c r="G13" s="10" t="n">
        <v>1</v>
      </c>
      <c r="H13" s="10" t="s">
        <v>150</v>
      </c>
      <c r="I13" s="10" t="s">
        <v>97</v>
      </c>
      <c r="J13" s="10" t="s">
        <v>70</v>
      </c>
      <c r="K13" s="10" t="s">
        <v>151</v>
      </c>
      <c r="L13" s="11" t="n">
        <v>46172</v>
      </c>
      <c r="M13" s="11" t="n">
        <v>46172</v>
      </c>
      <c r="N13" s="12" t="n">
        <f aca="true">TODAY()-M13</f>
        <v>150</v>
      </c>
      <c r="O13" s="13" t="n">
        <v>25207</v>
      </c>
      <c r="P13" s="10" t="n">
        <v>1</v>
      </c>
      <c r="Q13" s="13" t="n">
        <f aca="false">IF(P13&gt;0,O13/P13,0)</f>
        <v>25207</v>
      </c>
      <c r="R13" s="9" t="s">
        <v>152</v>
      </c>
      <c r="S13" s="9" t="s">
        <v>153</v>
      </c>
      <c r="T13" s="14" t="s">
        <v>74</v>
      </c>
      <c r="U13" s="15"/>
      <c r="V13" s="14"/>
      <c r="W13" s="16"/>
      <c r="X13" s="16"/>
      <c r="Y13" s="17"/>
    </row>
    <row r="14" customFormat="false" ht="23.85" hidden="false" customHeight="false" outlineLevel="0" collapsed="false">
      <c r="A14" s="8" t="str">
        <f aca="false">IF(O14&gt;=20000,"A",IF(O14&gt;=5000,"B","C"))</f>
        <v>A</v>
      </c>
      <c r="B14" s="9" t="s">
        <v>154</v>
      </c>
      <c r="C14" s="9" t="s">
        <v>155</v>
      </c>
      <c r="D14" s="10" t="s">
        <v>156</v>
      </c>
      <c r="E14" s="10" t="s">
        <v>157</v>
      </c>
      <c r="F14" s="10" t="s">
        <v>67</v>
      </c>
      <c r="G14" s="10" t="n">
        <v>1</v>
      </c>
      <c r="H14" s="10" t="s">
        <v>158</v>
      </c>
      <c r="I14" s="10" t="s">
        <v>105</v>
      </c>
      <c r="J14" s="10" t="s">
        <v>70</v>
      </c>
      <c r="K14" s="10" t="s">
        <v>88</v>
      </c>
      <c r="L14" s="11" t="n">
        <v>45596</v>
      </c>
      <c r="M14" s="11" t="n">
        <v>45967</v>
      </c>
      <c r="N14" s="12" t="n">
        <f aca="true">TODAY()-M14</f>
        <v>355</v>
      </c>
      <c r="O14" s="13" t="n">
        <v>21848</v>
      </c>
      <c r="P14" s="10" t="n">
        <v>8</v>
      </c>
      <c r="Q14" s="13" t="n">
        <f aca="false">IF(P14&gt;0,O14/P14,0)</f>
        <v>2731</v>
      </c>
      <c r="R14" s="9" t="s">
        <v>159</v>
      </c>
      <c r="S14" s="9" t="s">
        <v>160</v>
      </c>
      <c r="T14" s="14" t="s">
        <v>74</v>
      </c>
      <c r="U14" s="15"/>
      <c r="V14" s="14"/>
      <c r="W14" s="16"/>
      <c r="X14" s="16"/>
      <c r="Y14" s="17"/>
    </row>
    <row r="15" customFormat="false" ht="15" hidden="false" customHeight="false" outlineLevel="0" collapsed="false">
      <c r="A15" s="8" t="str">
        <f aca="false">IF(O15&gt;=20000,"A",IF(O15&gt;=5000,"B","C"))</f>
        <v>B</v>
      </c>
      <c r="B15" s="9" t="s">
        <v>161</v>
      </c>
      <c r="C15" s="9" t="s">
        <v>162</v>
      </c>
      <c r="D15" s="10" t="s">
        <v>163</v>
      </c>
      <c r="E15" s="10" t="s">
        <v>164</v>
      </c>
      <c r="F15" s="10" t="s">
        <v>118</v>
      </c>
      <c r="G15" s="10" t="n">
        <v>1</v>
      </c>
      <c r="H15" s="10" t="s">
        <v>165</v>
      </c>
      <c r="I15" s="10" t="s">
        <v>97</v>
      </c>
      <c r="J15" s="10" t="s">
        <v>70</v>
      </c>
      <c r="K15" s="10" t="s">
        <v>88</v>
      </c>
      <c r="L15" s="11" t="n">
        <v>45630</v>
      </c>
      <c r="M15" s="11" t="n">
        <v>46053</v>
      </c>
      <c r="N15" s="12" t="n">
        <f aca="true">TODAY()-M15</f>
        <v>269</v>
      </c>
      <c r="O15" s="13" t="n">
        <v>14984</v>
      </c>
      <c r="P15" s="10" t="n">
        <v>5</v>
      </c>
      <c r="Q15" s="13" t="n">
        <f aca="false">IF(P15&gt;0,O15/P15,0)</f>
        <v>2996.8</v>
      </c>
      <c r="R15" s="9" t="s">
        <v>166</v>
      </c>
      <c r="S15" s="9"/>
      <c r="T15" s="14" t="s">
        <v>74</v>
      </c>
      <c r="U15" s="15"/>
      <c r="V15" s="14"/>
      <c r="W15" s="16"/>
      <c r="X15" s="16"/>
      <c r="Y15" s="17"/>
    </row>
    <row r="16" customFormat="false" ht="23.85" hidden="false" customHeight="false" outlineLevel="0" collapsed="false">
      <c r="A16" s="8" t="str">
        <f aca="false">IF(O16&gt;=20000,"A",IF(O16&gt;=5000,"B","C"))</f>
        <v>B</v>
      </c>
      <c r="B16" s="9" t="s">
        <v>167</v>
      </c>
      <c r="C16" s="9" t="s">
        <v>168</v>
      </c>
      <c r="D16" s="10" t="s">
        <v>169</v>
      </c>
      <c r="E16" s="10" t="s">
        <v>78</v>
      </c>
      <c r="F16" s="10" t="s">
        <v>67</v>
      </c>
      <c r="G16" s="10" t="n">
        <v>2</v>
      </c>
      <c r="H16" s="10" t="s">
        <v>86</v>
      </c>
      <c r="I16" s="10" t="s">
        <v>79</v>
      </c>
      <c r="J16" s="10" t="s">
        <v>87</v>
      </c>
      <c r="K16" s="10" t="s">
        <v>88</v>
      </c>
      <c r="L16" s="11" t="n">
        <v>45681</v>
      </c>
      <c r="M16" s="11" t="n">
        <v>45990</v>
      </c>
      <c r="N16" s="12" t="n">
        <f aca="true">TODAY()-M16</f>
        <v>332</v>
      </c>
      <c r="O16" s="13" t="n">
        <v>13988</v>
      </c>
      <c r="P16" s="10" t="n">
        <v>5</v>
      </c>
      <c r="Q16" s="13" t="n">
        <f aca="false">IF(P16&gt;0,O16/P16,0)</f>
        <v>2797.6</v>
      </c>
      <c r="R16" s="9" t="s">
        <v>170</v>
      </c>
      <c r="S16" s="9" t="s">
        <v>171</v>
      </c>
      <c r="T16" s="14" t="s">
        <v>74</v>
      </c>
      <c r="U16" s="15"/>
      <c r="V16" s="14"/>
      <c r="W16" s="16"/>
      <c r="X16" s="16"/>
      <c r="Y16" s="17"/>
    </row>
    <row r="17" customFormat="false" ht="15" hidden="false" customHeight="false" outlineLevel="0" collapsed="false">
      <c r="A17" s="8" t="str">
        <f aca="false">IF(O17&gt;=20000,"A",IF(O17&gt;=5000,"B","C"))</f>
        <v>B</v>
      </c>
      <c r="B17" s="9" t="s">
        <v>172</v>
      </c>
      <c r="C17" s="9" t="s">
        <v>173</v>
      </c>
      <c r="D17" s="10" t="s">
        <v>174</v>
      </c>
      <c r="E17" s="10" t="s">
        <v>78</v>
      </c>
      <c r="F17" s="10" t="s">
        <v>67</v>
      </c>
      <c r="G17" s="10" t="n">
        <v>1</v>
      </c>
      <c r="H17" s="10" t="s">
        <v>68</v>
      </c>
      <c r="I17" s="10" t="s">
        <v>79</v>
      </c>
      <c r="J17" s="10" t="s">
        <v>70</v>
      </c>
      <c r="K17" s="10" t="s">
        <v>80</v>
      </c>
      <c r="L17" s="11" t="n">
        <v>46002</v>
      </c>
      <c r="M17" s="11" t="n">
        <v>46190</v>
      </c>
      <c r="N17" s="12" t="n">
        <f aca="true">TODAY()-M17</f>
        <v>132</v>
      </c>
      <c r="O17" s="13" t="n">
        <v>12213</v>
      </c>
      <c r="P17" s="10" t="n">
        <v>3</v>
      </c>
      <c r="Q17" s="13" t="n">
        <f aca="false">IF(P17&gt;0,O17/P17,0)</f>
        <v>4071</v>
      </c>
      <c r="R17" s="9" t="s">
        <v>175</v>
      </c>
      <c r="S17" s="9"/>
      <c r="T17" s="14" t="s">
        <v>74</v>
      </c>
      <c r="U17" s="15"/>
      <c r="V17" s="14"/>
      <c r="W17" s="16"/>
      <c r="X17" s="16"/>
      <c r="Y17" s="17"/>
    </row>
    <row r="18" customFormat="false" ht="15" hidden="false" customHeight="false" outlineLevel="0" collapsed="false">
      <c r="A18" s="8" t="str">
        <f aca="false">IF(O18&gt;=20000,"A",IF(O18&gt;=5000,"B","C"))</f>
        <v>B</v>
      </c>
      <c r="B18" s="9" t="s">
        <v>176</v>
      </c>
      <c r="C18" s="9" t="s">
        <v>177</v>
      </c>
      <c r="D18" s="10" t="s">
        <v>178</v>
      </c>
      <c r="E18" s="10" t="s">
        <v>78</v>
      </c>
      <c r="F18" s="10" t="s">
        <v>67</v>
      </c>
      <c r="G18" s="10" t="n">
        <v>1</v>
      </c>
      <c r="H18" s="10" t="s">
        <v>179</v>
      </c>
      <c r="I18" s="10" t="s">
        <v>79</v>
      </c>
      <c r="J18" s="10" t="s">
        <v>70</v>
      </c>
      <c r="K18" s="10" t="s">
        <v>88</v>
      </c>
      <c r="L18" s="11" t="n">
        <v>45835</v>
      </c>
      <c r="M18" s="11" t="n">
        <v>45854</v>
      </c>
      <c r="N18" s="12" t="n">
        <f aca="true">TODAY()-M18</f>
        <v>468</v>
      </c>
      <c r="O18" s="13" t="n">
        <v>11922</v>
      </c>
      <c r="P18" s="10" t="n">
        <v>2</v>
      </c>
      <c r="Q18" s="13" t="n">
        <f aca="false">IF(P18&gt;0,O18/P18,0)</f>
        <v>5961</v>
      </c>
      <c r="R18" s="9" t="s">
        <v>180</v>
      </c>
      <c r="S18" s="9"/>
      <c r="T18" s="14" t="s">
        <v>74</v>
      </c>
      <c r="U18" s="15"/>
      <c r="V18" s="14"/>
      <c r="W18" s="16"/>
      <c r="X18" s="16"/>
      <c r="Y18" s="17"/>
    </row>
    <row r="19" customFormat="false" ht="23.85" hidden="false" customHeight="false" outlineLevel="0" collapsed="false">
      <c r="A19" s="8" t="str">
        <f aca="false">IF(O19&gt;=20000,"A",IF(O19&gt;=5000,"B","C"))</f>
        <v>B</v>
      </c>
      <c r="B19" s="9" t="s">
        <v>181</v>
      </c>
      <c r="C19" s="9" t="s">
        <v>182</v>
      </c>
      <c r="D19" s="10" t="s">
        <v>183</v>
      </c>
      <c r="E19" s="10" t="s">
        <v>184</v>
      </c>
      <c r="F19" s="10" t="s">
        <v>95</v>
      </c>
      <c r="G19" s="10" t="n">
        <v>1</v>
      </c>
      <c r="H19" s="10" t="s">
        <v>138</v>
      </c>
      <c r="I19" s="10" t="s">
        <v>97</v>
      </c>
      <c r="J19" s="10" t="s">
        <v>70</v>
      </c>
      <c r="K19" s="10" t="s">
        <v>88</v>
      </c>
      <c r="L19" s="11" t="n">
        <v>45729</v>
      </c>
      <c r="M19" s="11" t="n">
        <v>46000</v>
      </c>
      <c r="N19" s="12" t="n">
        <f aca="true">TODAY()-M19</f>
        <v>322</v>
      </c>
      <c r="O19" s="13" t="n">
        <v>9863</v>
      </c>
      <c r="P19" s="10" t="n">
        <v>2</v>
      </c>
      <c r="Q19" s="13" t="n">
        <f aca="false">IF(P19&gt;0,O19/P19,0)</f>
        <v>4931.5</v>
      </c>
      <c r="R19" s="9" t="s">
        <v>185</v>
      </c>
      <c r="S19" s="9" t="s">
        <v>186</v>
      </c>
      <c r="T19" s="14" t="s">
        <v>74</v>
      </c>
      <c r="U19" s="15"/>
      <c r="V19" s="14"/>
      <c r="W19" s="16"/>
      <c r="X19" s="16"/>
      <c r="Y19" s="17"/>
    </row>
    <row r="20" customFormat="false" ht="15" hidden="false" customHeight="false" outlineLevel="0" collapsed="false">
      <c r="A20" s="8" t="str">
        <f aca="false">IF(O20&gt;=20000,"A",IF(O20&gt;=5000,"B","C"))</f>
        <v>B</v>
      </c>
      <c r="B20" s="9" t="s">
        <v>187</v>
      </c>
      <c r="C20" s="9" t="s">
        <v>188</v>
      </c>
      <c r="D20" s="10" t="s">
        <v>189</v>
      </c>
      <c r="E20" s="10" t="s">
        <v>94</v>
      </c>
      <c r="F20" s="10" t="s">
        <v>95</v>
      </c>
      <c r="G20" s="10" t="n">
        <v>1</v>
      </c>
      <c r="H20" s="10" t="s">
        <v>96</v>
      </c>
      <c r="I20" s="10" t="s">
        <v>97</v>
      </c>
      <c r="J20" s="10" t="s">
        <v>70</v>
      </c>
      <c r="K20" s="10" t="s">
        <v>190</v>
      </c>
      <c r="L20" s="11" t="n">
        <v>45951</v>
      </c>
      <c r="M20" s="11" t="n">
        <v>45952</v>
      </c>
      <c r="N20" s="12" t="n">
        <f aca="true">TODAY()-M20</f>
        <v>370</v>
      </c>
      <c r="O20" s="13" t="n">
        <v>9804</v>
      </c>
      <c r="P20" s="10" t="n">
        <v>2</v>
      </c>
      <c r="Q20" s="13" t="n">
        <f aca="false">IF(P20&gt;0,O20/P20,0)</f>
        <v>4902</v>
      </c>
      <c r="R20" s="9" t="s">
        <v>191</v>
      </c>
      <c r="S20" s="9"/>
      <c r="T20" s="14" t="s">
        <v>74</v>
      </c>
      <c r="U20" s="15"/>
      <c r="V20" s="14"/>
      <c r="W20" s="16"/>
      <c r="X20" s="16"/>
      <c r="Y20" s="17"/>
    </row>
    <row r="21" customFormat="false" ht="15" hidden="false" customHeight="false" outlineLevel="0" collapsed="false">
      <c r="A21" s="8" t="str">
        <f aca="false">IF(O21&gt;=20000,"A",IF(O21&gt;=5000,"B","C"))</f>
        <v>B</v>
      </c>
      <c r="B21" s="9" t="s">
        <v>192</v>
      </c>
      <c r="C21" s="9" t="s">
        <v>193</v>
      </c>
      <c r="D21" s="10" t="s">
        <v>194</v>
      </c>
      <c r="E21" s="10" t="s">
        <v>195</v>
      </c>
      <c r="F21" s="10" t="s">
        <v>67</v>
      </c>
      <c r="G21" s="10" t="n">
        <v>1</v>
      </c>
      <c r="H21" s="10" t="s">
        <v>196</v>
      </c>
      <c r="I21" s="10" t="s">
        <v>105</v>
      </c>
      <c r="J21" s="10" t="s">
        <v>70</v>
      </c>
      <c r="K21" s="10" t="s">
        <v>88</v>
      </c>
      <c r="L21" s="11" t="n">
        <v>46128</v>
      </c>
      <c r="M21" s="11" t="n">
        <v>46128</v>
      </c>
      <c r="N21" s="12" t="n">
        <f aca="true">TODAY()-M21</f>
        <v>194</v>
      </c>
      <c r="O21" s="13" t="n">
        <v>9121</v>
      </c>
      <c r="P21" s="10" t="n">
        <v>1</v>
      </c>
      <c r="Q21" s="13" t="n">
        <f aca="false">IF(P21&gt;0,O21/P21,0)</f>
        <v>9121</v>
      </c>
      <c r="R21" s="9" t="s">
        <v>197</v>
      </c>
      <c r="S21" s="9" t="s">
        <v>198</v>
      </c>
      <c r="T21" s="14" t="s">
        <v>74</v>
      </c>
      <c r="U21" s="15"/>
      <c r="V21" s="14"/>
      <c r="W21" s="16"/>
      <c r="X21" s="16"/>
      <c r="Y21" s="17"/>
    </row>
    <row r="22" customFormat="false" ht="15" hidden="false" customHeight="false" outlineLevel="0" collapsed="false">
      <c r="A22" s="8" t="str">
        <f aca="false">IF(O22&gt;=20000,"A",IF(O22&gt;=5000,"B","C"))</f>
        <v>B</v>
      </c>
      <c r="B22" s="9" t="s">
        <v>199</v>
      </c>
      <c r="C22" s="9" t="s">
        <v>200</v>
      </c>
      <c r="D22" s="10" t="s">
        <v>201</v>
      </c>
      <c r="E22" s="10" t="s">
        <v>202</v>
      </c>
      <c r="F22" s="10" t="s">
        <v>95</v>
      </c>
      <c r="G22" s="10" t="n">
        <v>1</v>
      </c>
      <c r="H22" s="10" t="s">
        <v>68</v>
      </c>
      <c r="I22" s="10" t="s">
        <v>79</v>
      </c>
      <c r="J22" s="10" t="s">
        <v>70</v>
      </c>
      <c r="K22" s="10" t="s">
        <v>88</v>
      </c>
      <c r="L22" s="11" t="n">
        <v>45621</v>
      </c>
      <c r="M22" s="11" t="n">
        <v>46191</v>
      </c>
      <c r="N22" s="12" t="n">
        <f aca="true">TODAY()-M22</f>
        <v>131</v>
      </c>
      <c r="O22" s="13" t="n">
        <v>8562</v>
      </c>
      <c r="P22" s="10" t="n">
        <v>4</v>
      </c>
      <c r="Q22" s="13" t="n">
        <f aca="false">IF(P22&gt;0,O22/P22,0)</f>
        <v>2140.5</v>
      </c>
      <c r="R22" s="9" t="s">
        <v>81</v>
      </c>
      <c r="S22" s="9" t="s">
        <v>107</v>
      </c>
      <c r="T22" s="14" t="s">
        <v>74</v>
      </c>
      <c r="U22" s="15"/>
      <c r="V22" s="14"/>
      <c r="W22" s="16"/>
      <c r="X22" s="16"/>
      <c r="Y22" s="17"/>
    </row>
    <row r="23" customFormat="false" ht="23.85" hidden="false" customHeight="false" outlineLevel="0" collapsed="false">
      <c r="A23" s="8" t="str">
        <f aca="false">IF(O23&gt;=20000,"A",IF(O23&gt;=5000,"B","C"))</f>
        <v>B</v>
      </c>
      <c r="B23" s="9" t="s">
        <v>203</v>
      </c>
      <c r="C23" s="9" t="s">
        <v>204</v>
      </c>
      <c r="D23" s="10" t="s">
        <v>205</v>
      </c>
      <c r="E23" s="10" t="s">
        <v>206</v>
      </c>
      <c r="F23" s="10" t="s">
        <v>67</v>
      </c>
      <c r="G23" s="10" t="n">
        <v>1</v>
      </c>
      <c r="H23" s="10" t="s">
        <v>131</v>
      </c>
      <c r="I23" s="10" t="s">
        <v>79</v>
      </c>
      <c r="J23" s="10" t="s">
        <v>87</v>
      </c>
      <c r="K23" s="10" t="s">
        <v>88</v>
      </c>
      <c r="L23" s="11" t="n">
        <v>45671</v>
      </c>
      <c r="M23" s="11" t="n">
        <v>45799</v>
      </c>
      <c r="N23" s="12" t="n">
        <f aca="true">TODAY()-M23</f>
        <v>523</v>
      </c>
      <c r="O23" s="13" t="n">
        <v>8177</v>
      </c>
      <c r="P23" s="10" t="n">
        <v>2</v>
      </c>
      <c r="Q23" s="13" t="n">
        <f aca="false">IF(P23&gt;0,O23/P23,0)</f>
        <v>4088.5</v>
      </c>
      <c r="R23" s="9" t="s">
        <v>207</v>
      </c>
      <c r="S23" s="9"/>
      <c r="T23" s="14" t="s">
        <v>74</v>
      </c>
      <c r="U23" s="15"/>
      <c r="V23" s="14"/>
      <c r="W23" s="16"/>
      <c r="X23" s="16"/>
      <c r="Y23" s="17"/>
    </row>
    <row r="24" customFormat="false" ht="15" hidden="false" customHeight="false" outlineLevel="0" collapsed="false">
      <c r="A24" s="8" t="str">
        <f aca="false">IF(O24&gt;=20000,"A",IF(O24&gt;=5000,"B","C"))</f>
        <v>B</v>
      </c>
      <c r="B24" s="9" t="s">
        <v>208</v>
      </c>
      <c r="C24" s="9" t="s">
        <v>209</v>
      </c>
      <c r="D24" s="10" t="s">
        <v>210</v>
      </c>
      <c r="E24" s="10" t="s">
        <v>211</v>
      </c>
      <c r="F24" s="10" t="s">
        <v>118</v>
      </c>
      <c r="G24" s="10" t="n">
        <v>1</v>
      </c>
      <c r="H24" s="10" t="s">
        <v>69</v>
      </c>
      <c r="I24" s="10" t="s">
        <v>97</v>
      </c>
      <c r="J24" s="10" t="s">
        <v>70</v>
      </c>
      <c r="K24" s="10" t="s">
        <v>212</v>
      </c>
      <c r="L24" s="11" t="n">
        <v>45838</v>
      </c>
      <c r="M24" s="11" t="n">
        <v>45838</v>
      </c>
      <c r="N24" s="12" t="n">
        <f aca="true">TODAY()-M24</f>
        <v>484</v>
      </c>
      <c r="O24" s="13" t="n">
        <v>7883</v>
      </c>
      <c r="P24" s="10" t="n">
        <v>1</v>
      </c>
      <c r="Q24" s="13" t="n">
        <f aca="false">IF(P24&gt;0,O24/P24,0)</f>
        <v>7883</v>
      </c>
      <c r="R24" s="9" t="s">
        <v>213</v>
      </c>
      <c r="S24" s="9"/>
      <c r="T24" s="14" t="s">
        <v>74</v>
      </c>
      <c r="U24" s="15"/>
      <c r="V24" s="14"/>
      <c r="W24" s="16"/>
      <c r="X24" s="16"/>
      <c r="Y24" s="17"/>
    </row>
    <row r="25" customFormat="false" ht="15" hidden="false" customHeight="false" outlineLevel="0" collapsed="false">
      <c r="A25" s="8" t="str">
        <f aca="false">IF(O25&gt;=20000,"A",IF(O25&gt;=5000,"B","C"))</f>
        <v>B</v>
      </c>
      <c r="B25" s="9" t="s">
        <v>214</v>
      </c>
      <c r="C25" s="9" t="s">
        <v>215</v>
      </c>
      <c r="D25" s="10" t="s">
        <v>216</v>
      </c>
      <c r="E25" s="10" t="s">
        <v>78</v>
      </c>
      <c r="F25" s="10" t="s">
        <v>67</v>
      </c>
      <c r="G25" s="10" t="n">
        <v>1</v>
      </c>
      <c r="H25" s="10" t="s">
        <v>131</v>
      </c>
      <c r="I25" s="10"/>
      <c r="J25" s="10" t="s">
        <v>87</v>
      </c>
      <c r="K25" s="10" t="s">
        <v>88</v>
      </c>
      <c r="L25" s="11" t="n">
        <v>45593</v>
      </c>
      <c r="M25" s="11" t="n">
        <v>45593</v>
      </c>
      <c r="N25" s="12" t="n">
        <f aca="true">TODAY()-M25</f>
        <v>729</v>
      </c>
      <c r="O25" s="13" t="n">
        <v>6105</v>
      </c>
      <c r="P25" s="10" t="n">
        <v>1</v>
      </c>
      <c r="Q25" s="13" t="n">
        <f aca="false">IF(P25&gt;0,O25/P25,0)</f>
        <v>6105</v>
      </c>
      <c r="R25" s="9" t="s">
        <v>217</v>
      </c>
      <c r="S25" s="9" t="s">
        <v>218</v>
      </c>
      <c r="T25" s="14" t="s">
        <v>74</v>
      </c>
      <c r="U25" s="15"/>
      <c r="V25" s="14"/>
      <c r="W25" s="16"/>
      <c r="X25" s="16"/>
      <c r="Y25" s="17"/>
    </row>
    <row r="26" customFormat="false" ht="23.85" hidden="false" customHeight="false" outlineLevel="0" collapsed="false">
      <c r="A26" s="8" t="str">
        <f aca="false">IF(O26&gt;=20000,"A",IF(O26&gt;=5000,"B","C"))</f>
        <v>B</v>
      </c>
      <c r="B26" s="9" t="s">
        <v>219</v>
      </c>
      <c r="C26" s="9" t="s">
        <v>220</v>
      </c>
      <c r="D26" s="10" t="s">
        <v>221</v>
      </c>
      <c r="E26" s="10" t="s">
        <v>222</v>
      </c>
      <c r="F26" s="10" t="s">
        <v>118</v>
      </c>
      <c r="G26" s="10" t="n">
        <v>1</v>
      </c>
      <c r="H26" s="10" t="s">
        <v>223</v>
      </c>
      <c r="I26" s="10" t="s">
        <v>97</v>
      </c>
      <c r="J26" s="10" t="s">
        <v>70</v>
      </c>
      <c r="K26" s="10" t="s">
        <v>88</v>
      </c>
      <c r="L26" s="11" t="n">
        <v>45681</v>
      </c>
      <c r="M26" s="11" t="n">
        <v>45681</v>
      </c>
      <c r="N26" s="12" t="n">
        <f aca="true">TODAY()-M26</f>
        <v>641</v>
      </c>
      <c r="O26" s="13" t="n">
        <v>5989</v>
      </c>
      <c r="P26" s="10" t="n">
        <v>1</v>
      </c>
      <c r="Q26" s="13" t="n">
        <f aca="false">IF(P26&gt;0,O26/P26,0)</f>
        <v>5989</v>
      </c>
      <c r="R26" s="9" t="s">
        <v>224</v>
      </c>
      <c r="S26" s="9"/>
      <c r="T26" s="14" t="s">
        <v>74</v>
      </c>
      <c r="U26" s="15"/>
      <c r="V26" s="14"/>
      <c r="W26" s="16"/>
      <c r="X26" s="16"/>
      <c r="Y26" s="17"/>
    </row>
    <row r="27" customFormat="false" ht="15" hidden="false" customHeight="false" outlineLevel="0" collapsed="false">
      <c r="A27" s="8" t="str">
        <f aca="false">IF(O27&gt;=20000,"A",IF(O27&gt;=5000,"B","C"))</f>
        <v>B</v>
      </c>
      <c r="B27" s="9" t="s">
        <v>225</v>
      </c>
      <c r="C27" s="9" t="s">
        <v>226</v>
      </c>
      <c r="D27" s="10" t="s">
        <v>227</v>
      </c>
      <c r="E27" s="10" t="s">
        <v>143</v>
      </c>
      <c r="F27" s="10" t="s">
        <v>118</v>
      </c>
      <c r="G27" s="10" t="n">
        <v>1</v>
      </c>
      <c r="H27" s="10" t="s">
        <v>144</v>
      </c>
      <c r="I27" s="10" t="s">
        <v>97</v>
      </c>
      <c r="J27" s="10" t="s">
        <v>70</v>
      </c>
      <c r="K27" s="10" t="s">
        <v>88</v>
      </c>
      <c r="L27" s="11" t="n">
        <v>46142</v>
      </c>
      <c r="M27" s="11" t="n">
        <v>46142</v>
      </c>
      <c r="N27" s="12" t="n">
        <f aca="true">TODAY()-M27</f>
        <v>180</v>
      </c>
      <c r="O27" s="13" t="n">
        <v>5934</v>
      </c>
      <c r="P27" s="10" t="n">
        <v>1</v>
      </c>
      <c r="Q27" s="13" t="n">
        <f aca="false">IF(P27&gt;0,O27/P27,0)</f>
        <v>5934</v>
      </c>
      <c r="R27" s="9" t="s">
        <v>228</v>
      </c>
      <c r="S27" s="9"/>
      <c r="T27" s="14" t="s">
        <v>74</v>
      </c>
      <c r="U27" s="15"/>
      <c r="V27" s="14"/>
      <c r="W27" s="16"/>
      <c r="X27" s="16"/>
      <c r="Y27" s="17"/>
    </row>
    <row r="28" customFormat="false" ht="23.85" hidden="false" customHeight="false" outlineLevel="0" collapsed="false">
      <c r="A28" s="8" t="str">
        <f aca="false">IF(O28&gt;=20000,"A",IF(O28&gt;=5000,"B","C"))</f>
        <v>B</v>
      </c>
      <c r="B28" s="9" t="s">
        <v>229</v>
      </c>
      <c r="C28" s="9" t="s">
        <v>230</v>
      </c>
      <c r="D28" s="10" t="s">
        <v>231</v>
      </c>
      <c r="E28" s="10" t="s">
        <v>78</v>
      </c>
      <c r="F28" s="10" t="s">
        <v>67</v>
      </c>
      <c r="G28" s="10" t="n">
        <v>1</v>
      </c>
      <c r="H28" s="10" t="s">
        <v>131</v>
      </c>
      <c r="I28" s="10"/>
      <c r="J28" s="10" t="s">
        <v>87</v>
      </c>
      <c r="K28" s="10" t="s">
        <v>88</v>
      </c>
      <c r="L28" s="11" t="n">
        <v>45628</v>
      </c>
      <c r="M28" s="11" t="n">
        <v>45772</v>
      </c>
      <c r="N28" s="12" t="n">
        <f aca="true">TODAY()-M28</f>
        <v>550</v>
      </c>
      <c r="O28" s="13" t="n">
        <v>5423</v>
      </c>
      <c r="P28" s="10" t="n">
        <v>2</v>
      </c>
      <c r="Q28" s="13" t="n">
        <f aca="false">IF(P28&gt;0,O28/P28,0)</f>
        <v>2711.5</v>
      </c>
      <c r="R28" s="9" t="s">
        <v>232</v>
      </c>
      <c r="S28" s="9" t="s">
        <v>218</v>
      </c>
      <c r="T28" s="14" t="s">
        <v>74</v>
      </c>
      <c r="U28" s="15"/>
      <c r="V28" s="14"/>
      <c r="W28" s="16"/>
      <c r="X28" s="16"/>
      <c r="Y28" s="17"/>
    </row>
    <row r="29" customFormat="false" ht="15" hidden="false" customHeight="false" outlineLevel="0" collapsed="false">
      <c r="A29" s="8" t="str">
        <f aca="false">IF(O29&gt;=20000,"A",IF(O29&gt;=5000,"B","C"))</f>
        <v>B</v>
      </c>
      <c r="B29" s="9" t="s">
        <v>233</v>
      </c>
      <c r="C29" s="9" t="s">
        <v>234</v>
      </c>
      <c r="D29" s="10" t="s">
        <v>235</v>
      </c>
      <c r="E29" s="10" t="s">
        <v>236</v>
      </c>
      <c r="F29" s="10" t="s">
        <v>95</v>
      </c>
      <c r="G29" s="10" t="n">
        <v>1</v>
      </c>
      <c r="H29" s="10" t="s">
        <v>237</v>
      </c>
      <c r="I29" s="10" t="s">
        <v>97</v>
      </c>
      <c r="J29" s="10" t="s">
        <v>70</v>
      </c>
      <c r="K29" s="10" t="s">
        <v>88</v>
      </c>
      <c r="L29" s="11" t="n">
        <v>46066</v>
      </c>
      <c r="M29" s="11" t="n">
        <v>46099</v>
      </c>
      <c r="N29" s="12" t="n">
        <f aca="true">TODAY()-M29</f>
        <v>223</v>
      </c>
      <c r="O29" s="13" t="n">
        <v>5213</v>
      </c>
      <c r="P29" s="10" t="n">
        <v>2</v>
      </c>
      <c r="Q29" s="13" t="n">
        <f aca="false">IF(P29&gt;0,O29/P29,0)</f>
        <v>2606.5</v>
      </c>
      <c r="R29" s="9" t="s">
        <v>81</v>
      </c>
      <c r="S29" s="9" t="s">
        <v>107</v>
      </c>
      <c r="T29" s="14" t="s">
        <v>74</v>
      </c>
      <c r="U29" s="15"/>
      <c r="V29" s="14"/>
      <c r="W29" s="16"/>
      <c r="X29" s="16"/>
      <c r="Y29" s="17"/>
    </row>
    <row r="30" customFormat="false" ht="15" hidden="false" customHeight="false" outlineLevel="0" collapsed="false">
      <c r="A30" s="8" t="str">
        <f aca="false">IF(O30&gt;=20000,"A",IF(O30&gt;=5000,"B","C"))</f>
        <v>C</v>
      </c>
      <c r="B30" s="9" t="s">
        <v>238</v>
      </c>
      <c r="C30" s="9" t="s">
        <v>239</v>
      </c>
      <c r="D30" s="10" t="s">
        <v>240</v>
      </c>
      <c r="E30" s="10" t="s">
        <v>241</v>
      </c>
      <c r="F30" s="10" t="s">
        <v>67</v>
      </c>
      <c r="G30" s="10" t="n">
        <v>1</v>
      </c>
      <c r="H30" s="10" t="s">
        <v>131</v>
      </c>
      <c r="I30" s="10" t="s">
        <v>79</v>
      </c>
      <c r="J30" s="10" t="s">
        <v>87</v>
      </c>
      <c r="K30" s="10" t="s">
        <v>88</v>
      </c>
      <c r="L30" s="11" t="n">
        <v>45629</v>
      </c>
      <c r="M30" s="11" t="n">
        <v>45629</v>
      </c>
      <c r="N30" s="12" t="n">
        <f aca="true">TODAY()-M30</f>
        <v>693</v>
      </c>
      <c r="O30" s="13" t="n">
        <v>4556</v>
      </c>
      <c r="P30" s="10" t="n">
        <v>1</v>
      </c>
      <c r="Q30" s="13" t="n">
        <f aca="false">IF(P30&gt;0,O30/P30,0)</f>
        <v>4556</v>
      </c>
      <c r="R30" s="9" t="s">
        <v>213</v>
      </c>
      <c r="S30" s="9"/>
      <c r="T30" s="14" t="s">
        <v>74</v>
      </c>
      <c r="U30" s="15"/>
      <c r="V30" s="14"/>
      <c r="W30" s="16"/>
      <c r="X30" s="16"/>
      <c r="Y30" s="17"/>
    </row>
    <row r="31" customFormat="false" ht="15" hidden="false" customHeight="false" outlineLevel="0" collapsed="false">
      <c r="A31" s="8" t="str">
        <f aca="false">IF(O31&gt;=20000,"A",IF(O31&gt;=5000,"B","C"))</f>
        <v>C</v>
      </c>
      <c r="B31" s="9" t="s">
        <v>242</v>
      </c>
      <c r="C31" s="9" t="s">
        <v>243</v>
      </c>
      <c r="D31" s="10" t="s">
        <v>244</v>
      </c>
      <c r="E31" s="10" t="s">
        <v>245</v>
      </c>
      <c r="F31" s="10" t="s">
        <v>67</v>
      </c>
      <c r="G31" s="10" t="n">
        <v>1</v>
      </c>
      <c r="H31" s="10" t="s">
        <v>131</v>
      </c>
      <c r="I31" s="10" t="s">
        <v>79</v>
      </c>
      <c r="J31" s="10" t="s">
        <v>87</v>
      </c>
      <c r="K31" s="10" t="s">
        <v>190</v>
      </c>
      <c r="L31" s="11" t="n">
        <v>45889</v>
      </c>
      <c r="M31" s="11" t="n">
        <v>45889</v>
      </c>
      <c r="N31" s="12" t="n">
        <f aca="true">TODAY()-M31</f>
        <v>433</v>
      </c>
      <c r="O31" s="13" t="n">
        <v>3802</v>
      </c>
      <c r="P31" s="10" t="n">
        <v>1</v>
      </c>
      <c r="Q31" s="13" t="n">
        <f aca="false">IF(P31&gt;0,O31/P31,0)</f>
        <v>3802</v>
      </c>
      <c r="R31" s="9" t="s">
        <v>246</v>
      </c>
      <c r="S31" s="9"/>
      <c r="T31" s="14" t="s">
        <v>74</v>
      </c>
      <c r="U31" s="15"/>
      <c r="V31" s="14"/>
      <c r="W31" s="16"/>
      <c r="X31" s="16"/>
      <c r="Y31" s="17"/>
    </row>
    <row r="32" customFormat="false" ht="23.85" hidden="false" customHeight="false" outlineLevel="0" collapsed="false">
      <c r="A32" s="8" t="str">
        <f aca="false">IF(O32&gt;=20000,"A",IF(O32&gt;=5000,"B","C"))</f>
        <v>C</v>
      </c>
      <c r="B32" s="9" t="s">
        <v>247</v>
      </c>
      <c r="C32" s="9" t="s">
        <v>248</v>
      </c>
      <c r="D32" s="10" t="s">
        <v>249</v>
      </c>
      <c r="E32" s="10" t="s">
        <v>250</v>
      </c>
      <c r="F32" s="10" t="s">
        <v>118</v>
      </c>
      <c r="G32" s="10" t="n">
        <v>1</v>
      </c>
      <c r="H32" s="10" t="s">
        <v>165</v>
      </c>
      <c r="I32" s="10" t="s">
        <v>97</v>
      </c>
      <c r="J32" s="10" t="s">
        <v>70</v>
      </c>
      <c r="K32" s="10" t="s">
        <v>88</v>
      </c>
      <c r="L32" s="11" t="n">
        <v>45854</v>
      </c>
      <c r="M32" s="11" t="n">
        <v>45854</v>
      </c>
      <c r="N32" s="12" t="n">
        <f aca="true">TODAY()-M32</f>
        <v>468</v>
      </c>
      <c r="O32" s="13" t="n">
        <v>3487</v>
      </c>
      <c r="P32" s="10" t="n">
        <v>1</v>
      </c>
      <c r="Q32" s="13" t="n">
        <f aca="false">IF(P32&gt;0,O32/P32,0)</f>
        <v>3487</v>
      </c>
      <c r="R32" s="9" t="s">
        <v>251</v>
      </c>
      <c r="S32" s="9"/>
      <c r="T32" s="14" t="s">
        <v>74</v>
      </c>
      <c r="U32" s="15"/>
      <c r="V32" s="14"/>
      <c r="W32" s="16"/>
      <c r="X32" s="16"/>
      <c r="Y32" s="17"/>
    </row>
    <row r="33" customFormat="false" ht="23.85" hidden="false" customHeight="false" outlineLevel="0" collapsed="false">
      <c r="A33" s="8" t="str">
        <f aca="false">IF(O33&gt;=20000,"A",IF(O33&gt;=5000,"B","C"))</f>
        <v>C</v>
      </c>
      <c r="B33" s="9" t="s">
        <v>252</v>
      </c>
      <c r="C33" s="9" t="s">
        <v>253</v>
      </c>
      <c r="D33" s="10" t="s">
        <v>254</v>
      </c>
      <c r="E33" s="10" t="s">
        <v>236</v>
      </c>
      <c r="F33" s="10" t="s">
        <v>95</v>
      </c>
      <c r="G33" s="10" t="n">
        <v>1</v>
      </c>
      <c r="H33" s="10" t="s">
        <v>131</v>
      </c>
      <c r="I33" s="10" t="s">
        <v>79</v>
      </c>
      <c r="J33" s="10" t="s">
        <v>87</v>
      </c>
      <c r="K33" s="10" t="s">
        <v>88</v>
      </c>
      <c r="L33" s="11" t="n">
        <v>45621</v>
      </c>
      <c r="M33" s="11" t="n">
        <v>45646</v>
      </c>
      <c r="N33" s="12" t="n">
        <f aca="true">TODAY()-M33</f>
        <v>676</v>
      </c>
      <c r="O33" s="13" t="n">
        <v>3378</v>
      </c>
      <c r="P33" s="10" t="n">
        <v>2</v>
      </c>
      <c r="Q33" s="13" t="n">
        <f aca="false">IF(P33&gt;0,O33/P33,0)</f>
        <v>1689</v>
      </c>
      <c r="R33" s="9" t="s">
        <v>255</v>
      </c>
      <c r="S33" s="9"/>
      <c r="T33" s="14" t="s">
        <v>74</v>
      </c>
      <c r="U33" s="15"/>
      <c r="V33" s="14"/>
      <c r="W33" s="16"/>
      <c r="X33" s="16"/>
      <c r="Y33" s="17"/>
    </row>
    <row r="34" customFormat="false" ht="15" hidden="false" customHeight="false" outlineLevel="0" collapsed="false">
      <c r="A34" s="8" t="str">
        <f aca="false">IF(O34&gt;=20000,"A",IF(O34&gt;=5000,"B","C"))</f>
        <v>C</v>
      </c>
      <c r="B34" s="9" t="s">
        <v>256</v>
      </c>
      <c r="C34" s="9" t="s">
        <v>257</v>
      </c>
      <c r="D34" s="10" t="s">
        <v>258</v>
      </c>
      <c r="E34" s="10" t="s">
        <v>78</v>
      </c>
      <c r="F34" s="10" t="s">
        <v>67</v>
      </c>
      <c r="G34" s="10" t="n">
        <v>1</v>
      </c>
      <c r="H34" s="10" t="s">
        <v>259</v>
      </c>
      <c r="I34" s="10" t="s">
        <v>111</v>
      </c>
      <c r="J34" s="10" t="s">
        <v>70</v>
      </c>
      <c r="K34" s="10" t="s">
        <v>88</v>
      </c>
      <c r="L34" s="11" t="n">
        <v>45743</v>
      </c>
      <c r="M34" s="11" t="n">
        <v>45769</v>
      </c>
      <c r="N34" s="12" t="n">
        <f aca="true">TODAY()-M34</f>
        <v>553</v>
      </c>
      <c r="O34" s="13" t="n">
        <v>3362</v>
      </c>
      <c r="P34" s="10" t="n">
        <v>2</v>
      </c>
      <c r="Q34" s="13" t="n">
        <f aca="false">IF(P34&gt;0,O34/P34,0)</f>
        <v>1681</v>
      </c>
      <c r="R34" s="9" t="s">
        <v>260</v>
      </c>
      <c r="S34" s="9"/>
      <c r="T34" s="14" t="s">
        <v>74</v>
      </c>
      <c r="U34" s="15"/>
      <c r="V34" s="14"/>
      <c r="W34" s="16"/>
      <c r="X34" s="16"/>
      <c r="Y34" s="17"/>
    </row>
    <row r="35" customFormat="false" ht="23.85" hidden="false" customHeight="false" outlineLevel="0" collapsed="false">
      <c r="A35" s="8" t="str">
        <f aca="false">IF(O35&gt;=20000,"A",IF(O35&gt;=5000,"B","C"))</f>
        <v>C</v>
      </c>
      <c r="B35" s="9" t="s">
        <v>261</v>
      </c>
      <c r="C35" s="9" t="s">
        <v>262</v>
      </c>
      <c r="D35" s="10" t="s">
        <v>263</v>
      </c>
      <c r="E35" s="10" t="s">
        <v>264</v>
      </c>
      <c r="F35" s="10" t="s">
        <v>67</v>
      </c>
      <c r="G35" s="10" t="n">
        <v>1</v>
      </c>
      <c r="H35" s="10" t="s">
        <v>131</v>
      </c>
      <c r="I35" s="10" t="s">
        <v>79</v>
      </c>
      <c r="J35" s="10" t="s">
        <v>87</v>
      </c>
      <c r="K35" s="10" t="s">
        <v>88</v>
      </c>
      <c r="L35" s="11" t="n">
        <v>45603</v>
      </c>
      <c r="M35" s="11" t="n">
        <v>45603</v>
      </c>
      <c r="N35" s="12" t="n">
        <f aca="true">TODAY()-M35</f>
        <v>719</v>
      </c>
      <c r="O35" s="13" t="n">
        <v>3358</v>
      </c>
      <c r="P35" s="10" t="n">
        <v>1</v>
      </c>
      <c r="Q35" s="13" t="n">
        <f aca="false">IF(P35&gt;0,O35/P35,0)</f>
        <v>3358</v>
      </c>
      <c r="R35" s="9" t="s">
        <v>213</v>
      </c>
      <c r="S35" s="9"/>
      <c r="T35" s="14" t="s">
        <v>74</v>
      </c>
      <c r="U35" s="15"/>
      <c r="V35" s="14"/>
      <c r="W35" s="16"/>
      <c r="X35" s="16"/>
      <c r="Y35" s="17"/>
    </row>
    <row r="36" customFormat="false" ht="23.85" hidden="false" customHeight="false" outlineLevel="0" collapsed="false">
      <c r="A36" s="8" t="str">
        <f aca="false">IF(O36&gt;=20000,"A",IF(O36&gt;=5000,"B","C"))</f>
        <v>C</v>
      </c>
      <c r="B36" s="9" t="s">
        <v>265</v>
      </c>
      <c r="C36" s="9" t="s">
        <v>266</v>
      </c>
      <c r="D36" s="10" t="s">
        <v>267</v>
      </c>
      <c r="E36" s="10" t="s">
        <v>78</v>
      </c>
      <c r="F36" s="10" t="s">
        <v>67</v>
      </c>
      <c r="G36" s="10" t="n">
        <v>1</v>
      </c>
      <c r="H36" s="10" t="s">
        <v>268</v>
      </c>
      <c r="I36" s="10" t="s">
        <v>111</v>
      </c>
      <c r="J36" s="10" t="s">
        <v>70</v>
      </c>
      <c r="K36" s="10" t="s">
        <v>88</v>
      </c>
      <c r="L36" s="11" t="n">
        <v>45607</v>
      </c>
      <c r="M36" s="11" t="n">
        <v>45607</v>
      </c>
      <c r="N36" s="12" t="n">
        <f aca="true">TODAY()-M36</f>
        <v>715</v>
      </c>
      <c r="O36" s="13" t="n">
        <v>2819</v>
      </c>
      <c r="P36" s="10" t="n">
        <v>1</v>
      </c>
      <c r="Q36" s="13" t="n">
        <f aca="false">IF(P36&gt;0,O36/P36,0)</f>
        <v>2819</v>
      </c>
      <c r="R36" s="9" t="s">
        <v>269</v>
      </c>
      <c r="S36" s="9"/>
      <c r="T36" s="14" t="s">
        <v>74</v>
      </c>
      <c r="U36" s="15"/>
      <c r="V36" s="14"/>
      <c r="W36" s="16"/>
      <c r="X36" s="16"/>
      <c r="Y36" s="17"/>
    </row>
    <row r="37" customFormat="false" ht="23.85" hidden="false" customHeight="false" outlineLevel="0" collapsed="false">
      <c r="A37" s="8" t="str">
        <f aca="false">IF(O37&gt;=20000,"A",IF(O37&gt;=5000,"B","C"))</f>
        <v>C</v>
      </c>
      <c r="B37" s="9" t="s">
        <v>270</v>
      </c>
      <c r="C37" s="9" t="s">
        <v>271</v>
      </c>
      <c r="D37" s="10" t="s">
        <v>272</v>
      </c>
      <c r="E37" s="10" t="s">
        <v>273</v>
      </c>
      <c r="F37" s="10" t="s">
        <v>67</v>
      </c>
      <c r="G37" s="10" t="n">
        <v>1</v>
      </c>
      <c r="H37" s="10" t="s">
        <v>274</v>
      </c>
      <c r="I37" s="10" t="s">
        <v>275</v>
      </c>
      <c r="J37" s="10" t="s">
        <v>70</v>
      </c>
      <c r="K37" s="10" t="s">
        <v>276</v>
      </c>
      <c r="L37" s="11" t="n">
        <v>46204</v>
      </c>
      <c r="M37" s="11" t="n">
        <v>46204</v>
      </c>
      <c r="N37" s="12" t="n">
        <f aca="true">TODAY()-M37</f>
        <v>118</v>
      </c>
      <c r="O37" s="13" t="n">
        <v>2594</v>
      </c>
      <c r="P37" s="10" t="n">
        <v>3</v>
      </c>
      <c r="Q37" s="13" t="n">
        <f aca="false">IF(P37&gt;0,O37/P37,0)</f>
        <v>864.666666666667</v>
      </c>
      <c r="R37" s="9" t="s">
        <v>277</v>
      </c>
      <c r="S37" s="9" t="s">
        <v>278</v>
      </c>
      <c r="T37" s="14" t="s">
        <v>74</v>
      </c>
      <c r="U37" s="15"/>
      <c r="V37" s="14"/>
      <c r="W37" s="16"/>
      <c r="X37" s="16"/>
      <c r="Y37" s="17"/>
    </row>
    <row r="38" customFormat="false" ht="23.85" hidden="false" customHeight="false" outlineLevel="0" collapsed="false">
      <c r="A38" s="8" t="str">
        <f aca="false">IF(O38&gt;=20000,"A",IF(O38&gt;=5000,"B","C"))</f>
        <v>C</v>
      </c>
      <c r="B38" s="9" t="s">
        <v>279</v>
      </c>
      <c r="C38" s="9" t="s">
        <v>280</v>
      </c>
      <c r="D38" s="10" t="s">
        <v>281</v>
      </c>
      <c r="E38" s="10" t="s">
        <v>78</v>
      </c>
      <c r="F38" s="10" t="s">
        <v>67</v>
      </c>
      <c r="G38" s="10" t="n">
        <v>1</v>
      </c>
      <c r="H38" s="10" t="s">
        <v>282</v>
      </c>
      <c r="I38" s="10" t="s">
        <v>79</v>
      </c>
      <c r="J38" s="10" t="s">
        <v>70</v>
      </c>
      <c r="K38" s="10" t="s">
        <v>88</v>
      </c>
      <c r="L38" s="11" t="n">
        <v>46206</v>
      </c>
      <c r="M38" s="11" t="n">
        <v>46206</v>
      </c>
      <c r="N38" s="12" t="n">
        <f aca="true">TODAY()-M38</f>
        <v>116</v>
      </c>
      <c r="O38" s="13" t="n">
        <v>2551</v>
      </c>
      <c r="P38" s="10" t="n">
        <v>1</v>
      </c>
      <c r="Q38" s="13" t="n">
        <f aca="false">IF(P38&gt;0,O38/P38,0)</f>
        <v>2551</v>
      </c>
      <c r="R38" s="9" t="s">
        <v>81</v>
      </c>
      <c r="S38" s="9" t="s">
        <v>283</v>
      </c>
      <c r="T38" s="14" t="s">
        <v>74</v>
      </c>
      <c r="U38" s="15"/>
      <c r="V38" s="14"/>
      <c r="W38" s="16"/>
      <c r="X38" s="16"/>
      <c r="Y38" s="17"/>
    </row>
    <row r="39" customFormat="false" ht="15" hidden="false" customHeight="false" outlineLevel="0" collapsed="false">
      <c r="A39" s="8" t="str">
        <f aca="false">IF(O39&gt;=20000,"A",IF(O39&gt;=5000,"B","C"))</f>
        <v>C</v>
      </c>
      <c r="B39" s="9" t="s">
        <v>284</v>
      </c>
      <c r="C39" s="9" t="s">
        <v>285</v>
      </c>
      <c r="D39" s="10" t="s">
        <v>286</v>
      </c>
      <c r="E39" s="10" t="s">
        <v>287</v>
      </c>
      <c r="F39" s="10" t="s">
        <v>95</v>
      </c>
      <c r="G39" s="10" t="n">
        <v>1</v>
      </c>
      <c r="H39" s="10" t="s">
        <v>138</v>
      </c>
      <c r="I39" s="10" t="s">
        <v>97</v>
      </c>
      <c r="J39" s="10" t="s">
        <v>70</v>
      </c>
      <c r="K39" s="10" t="s">
        <v>88</v>
      </c>
      <c r="L39" s="11" t="n">
        <v>45768</v>
      </c>
      <c r="M39" s="11" t="n">
        <v>45768</v>
      </c>
      <c r="N39" s="12" t="n">
        <f aca="true">TODAY()-M39</f>
        <v>554</v>
      </c>
      <c r="O39" s="13" t="n">
        <v>2511</v>
      </c>
      <c r="P39" s="10" t="n">
        <v>1</v>
      </c>
      <c r="Q39" s="13" t="n">
        <f aca="false">IF(P39&gt;0,O39/P39,0)</f>
        <v>2511</v>
      </c>
      <c r="R39" s="9" t="s">
        <v>288</v>
      </c>
      <c r="S39" s="9"/>
      <c r="T39" s="14" t="s">
        <v>74</v>
      </c>
      <c r="U39" s="15"/>
      <c r="V39" s="14"/>
      <c r="W39" s="16"/>
      <c r="X39" s="16"/>
      <c r="Y39" s="17"/>
    </row>
    <row r="40" customFormat="false" ht="23.85" hidden="false" customHeight="false" outlineLevel="0" collapsed="false">
      <c r="A40" s="8" t="str">
        <f aca="false">IF(O40&gt;=20000,"A",IF(O40&gt;=5000,"B","C"))</f>
        <v>C</v>
      </c>
      <c r="B40" s="9" t="s">
        <v>289</v>
      </c>
      <c r="C40" s="9" t="s">
        <v>290</v>
      </c>
      <c r="D40" s="10" t="s">
        <v>291</v>
      </c>
      <c r="E40" s="10" t="s">
        <v>78</v>
      </c>
      <c r="F40" s="10" t="s">
        <v>67</v>
      </c>
      <c r="G40" s="10" t="n">
        <v>1</v>
      </c>
      <c r="H40" s="10" t="s">
        <v>131</v>
      </c>
      <c r="I40" s="10" t="s">
        <v>79</v>
      </c>
      <c r="J40" s="10" t="s">
        <v>87</v>
      </c>
      <c r="K40" s="10" t="s">
        <v>88</v>
      </c>
      <c r="L40" s="11" t="n">
        <v>45607</v>
      </c>
      <c r="M40" s="11" t="n">
        <v>45607</v>
      </c>
      <c r="N40" s="12" t="n">
        <f aca="true">TODAY()-M40</f>
        <v>715</v>
      </c>
      <c r="O40" s="13" t="n">
        <v>1890</v>
      </c>
      <c r="P40" s="10" t="n">
        <v>1</v>
      </c>
      <c r="Q40" s="13" t="n">
        <f aca="false">IF(P40&gt;0,O40/P40,0)</f>
        <v>1890</v>
      </c>
      <c r="R40" s="9" t="s">
        <v>292</v>
      </c>
      <c r="S40" s="9"/>
      <c r="T40" s="14" t="s">
        <v>74</v>
      </c>
      <c r="U40" s="15"/>
      <c r="V40" s="14"/>
      <c r="W40" s="16"/>
      <c r="X40" s="16"/>
      <c r="Y40" s="17"/>
    </row>
    <row r="41" customFormat="false" ht="15" hidden="false" customHeight="false" outlineLevel="0" collapsed="false">
      <c r="A41" s="8" t="str">
        <f aca="false">IF(O41&gt;=20000,"A",IF(O41&gt;=5000,"B","C"))</f>
        <v>C</v>
      </c>
      <c r="B41" s="9" t="s">
        <v>293</v>
      </c>
      <c r="C41" s="9" t="s">
        <v>294</v>
      </c>
      <c r="D41" s="10" t="s">
        <v>295</v>
      </c>
      <c r="E41" s="10" t="s">
        <v>296</v>
      </c>
      <c r="F41" s="10" t="s">
        <v>297</v>
      </c>
      <c r="G41" s="10" t="n">
        <v>1</v>
      </c>
      <c r="H41" s="10" t="s">
        <v>298</v>
      </c>
      <c r="I41" s="10" t="s">
        <v>97</v>
      </c>
      <c r="J41" s="10" t="s">
        <v>70</v>
      </c>
      <c r="K41" s="10" t="s">
        <v>88</v>
      </c>
      <c r="L41" s="11" t="n">
        <v>45644</v>
      </c>
      <c r="M41" s="11" t="n">
        <v>45644</v>
      </c>
      <c r="N41" s="12" t="n">
        <f aca="true">TODAY()-M41</f>
        <v>678</v>
      </c>
      <c r="O41" s="13" t="n">
        <v>1651</v>
      </c>
      <c r="P41" s="10" t="n">
        <v>1</v>
      </c>
      <c r="Q41" s="13" t="n">
        <f aca="false">IF(P41&gt;0,O41/P41,0)</f>
        <v>1651</v>
      </c>
      <c r="R41" s="9" t="s">
        <v>299</v>
      </c>
      <c r="S41" s="9"/>
      <c r="T41" s="14" t="s">
        <v>74</v>
      </c>
      <c r="U41" s="15"/>
      <c r="V41" s="14"/>
      <c r="W41" s="16"/>
      <c r="X41" s="16"/>
      <c r="Y41" s="17"/>
    </row>
  </sheetData>
  <autoFilter ref="A1:Y41"/>
  <conditionalFormatting sqref="A2:A41">
    <cfRule type="cellIs" priority="2" operator="equal" aboveAverage="0" equalAverage="0" bottom="0" percent="0" rank="0" text="" dxfId="7">
      <formula>"A"</formula>
    </cfRule>
    <cfRule type="cellIs" priority="3" operator="equal" aboveAverage="0" equalAverage="0" bottom="0" percent="0" rank="0" text="" dxfId="8">
      <formula>"B"</formula>
    </cfRule>
    <cfRule type="cellIs" priority="4" operator="equal" aboveAverage="0" equalAverage="0" bottom="0" percent="0" rank="0" text="" dxfId="9">
      <formula>"C"</formula>
    </cfRule>
  </conditionalFormatting>
  <dataValidations count="1">
    <dataValidation allowBlank="true" errorStyle="stop" operator="between" showDropDown="false" showErrorMessage="false" showInputMessage="false" sqref="T2:T41" type="list">
      <formula1>"A contatar,Sem contato,Em conversa,Pedido fechado,Sem interesse,Fechou a empresa,Não ligar"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5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8" min="18" style="0" width="42"/>
    <col collapsed="false" customWidth="true" hidden="false" outlineLevel="0" max="19" min="19" style="0" width="48"/>
    <col collapsed="false" customWidth="true" hidden="false" outlineLevel="0" max="20" min="20" style="0" width="18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28"/>
    <col collapsed="false" customWidth="true" hidden="false" outlineLevel="0" max="24" min="24" style="0" width="30"/>
    <col collapsed="false" customWidth="true" hidden="false" outlineLevel="0" max="25" min="25" style="0" width="14"/>
  </cols>
  <sheetData>
    <row r="1" customFormat="false" ht="31.5" hidden="false" customHeight="true" outlineLevel="0" collapsed="false">
      <c r="A1" s="7" t="s">
        <v>18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23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</row>
    <row r="2" customFormat="false" ht="15" hidden="false" customHeight="false" outlineLevel="0" collapsed="false">
      <c r="A2" s="8" t="str">
        <f aca="false">IF(O2&gt;=20000,"A",IF(O2&gt;=5000,"B","C"))</f>
        <v>A</v>
      </c>
      <c r="B2" s="9" t="s">
        <v>300</v>
      </c>
      <c r="C2" s="9" t="s">
        <v>301</v>
      </c>
      <c r="D2" s="10" t="s">
        <v>302</v>
      </c>
      <c r="E2" s="10" t="s">
        <v>303</v>
      </c>
      <c r="F2" s="10" t="s">
        <v>95</v>
      </c>
      <c r="G2" s="10" t="n">
        <v>24</v>
      </c>
      <c r="H2" s="10" t="s">
        <v>138</v>
      </c>
      <c r="I2" s="10" t="s">
        <v>69</v>
      </c>
      <c r="J2" s="10" t="s">
        <v>70</v>
      </c>
      <c r="K2" s="10" t="s">
        <v>304</v>
      </c>
      <c r="L2" s="11" t="n">
        <v>45687</v>
      </c>
      <c r="M2" s="11" t="n">
        <v>46255</v>
      </c>
      <c r="N2" s="12" t="n">
        <f aca="true">TODAY()-M2</f>
        <v>67</v>
      </c>
      <c r="O2" s="13" t="n">
        <v>302650</v>
      </c>
      <c r="P2" s="10" t="n">
        <v>83</v>
      </c>
      <c r="Q2" s="13" t="n">
        <f aca="false">IF(P2&gt;0,O2/P2,0)</f>
        <v>3646.38554216868</v>
      </c>
      <c r="R2" s="9" t="s">
        <v>305</v>
      </c>
      <c r="S2" s="9" t="s">
        <v>306</v>
      </c>
      <c r="T2" s="14" t="s">
        <v>74</v>
      </c>
      <c r="U2" s="15"/>
      <c r="V2" s="14"/>
      <c r="W2" s="16"/>
      <c r="X2" s="16"/>
      <c r="Y2" s="17"/>
    </row>
    <row r="3" customFormat="false" ht="15" hidden="false" customHeight="false" outlineLevel="0" collapsed="false">
      <c r="A3" s="8" t="str">
        <f aca="false">IF(O3&gt;=20000,"A",IF(O3&gt;=5000,"B","C"))</f>
        <v>A</v>
      </c>
      <c r="B3" s="9" t="s">
        <v>307</v>
      </c>
      <c r="C3" s="9" t="s">
        <v>308</v>
      </c>
      <c r="D3" s="10" t="s">
        <v>309</v>
      </c>
      <c r="E3" s="10" t="s">
        <v>310</v>
      </c>
      <c r="F3" s="10" t="s">
        <v>67</v>
      </c>
      <c r="G3" s="10" t="n">
        <v>10</v>
      </c>
      <c r="H3" s="10" t="s">
        <v>311</v>
      </c>
      <c r="I3" s="10" t="s">
        <v>105</v>
      </c>
      <c r="J3" s="10" t="s">
        <v>70</v>
      </c>
      <c r="K3" s="10" t="s">
        <v>88</v>
      </c>
      <c r="L3" s="11" t="n">
        <v>45628</v>
      </c>
      <c r="M3" s="11" t="n">
        <v>46255</v>
      </c>
      <c r="N3" s="12" t="n">
        <f aca="true">TODAY()-M3</f>
        <v>67</v>
      </c>
      <c r="O3" s="13" t="n">
        <v>80429</v>
      </c>
      <c r="P3" s="10" t="n">
        <v>25</v>
      </c>
      <c r="Q3" s="13" t="n">
        <f aca="false">IF(P3&gt;0,O3/P3,0)</f>
        <v>3217.16</v>
      </c>
      <c r="R3" s="9" t="s">
        <v>312</v>
      </c>
      <c r="S3" s="9" t="s">
        <v>313</v>
      </c>
      <c r="T3" s="14" t="s">
        <v>74</v>
      </c>
      <c r="U3" s="15"/>
      <c r="V3" s="14"/>
      <c r="W3" s="16"/>
      <c r="X3" s="16"/>
      <c r="Y3" s="17"/>
    </row>
    <row r="4" customFormat="false" ht="15" hidden="false" customHeight="false" outlineLevel="0" collapsed="false">
      <c r="A4" s="8" t="str">
        <f aca="false">IF(O4&gt;=20000,"A",IF(O4&gt;=5000,"B","C"))</f>
        <v>A</v>
      </c>
      <c r="B4" s="9" t="s">
        <v>314</v>
      </c>
      <c r="C4" s="9" t="s">
        <v>315</v>
      </c>
      <c r="D4" s="10" t="s">
        <v>316</v>
      </c>
      <c r="E4" s="10" t="s">
        <v>317</v>
      </c>
      <c r="F4" s="10" t="s">
        <v>67</v>
      </c>
      <c r="G4" s="10" t="n">
        <v>1</v>
      </c>
      <c r="H4" s="10" t="s">
        <v>318</v>
      </c>
      <c r="I4" s="10" t="s">
        <v>69</v>
      </c>
      <c r="J4" s="10" t="s">
        <v>70</v>
      </c>
      <c r="K4" s="10" t="s">
        <v>71</v>
      </c>
      <c r="L4" s="11" t="n">
        <v>45693</v>
      </c>
      <c r="M4" s="11" t="n">
        <v>46146</v>
      </c>
      <c r="N4" s="12" t="n">
        <f aca="true">TODAY()-M4</f>
        <v>176</v>
      </c>
      <c r="O4" s="13" t="n">
        <v>52772</v>
      </c>
      <c r="P4" s="10" t="n">
        <v>5</v>
      </c>
      <c r="Q4" s="13" t="n">
        <f aca="false">IF(P4&gt;0,O4/P4,0)</f>
        <v>10554.4</v>
      </c>
      <c r="R4" s="9" t="s">
        <v>319</v>
      </c>
      <c r="S4" s="9" t="s">
        <v>320</v>
      </c>
      <c r="T4" s="14" t="s">
        <v>74</v>
      </c>
      <c r="U4" s="15"/>
      <c r="V4" s="14"/>
      <c r="W4" s="16"/>
      <c r="X4" s="16"/>
      <c r="Y4" s="17"/>
    </row>
    <row r="5" customFormat="false" ht="23.85" hidden="false" customHeight="false" outlineLevel="0" collapsed="false">
      <c r="A5" s="8" t="str">
        <f aca="false">IF(O5&gt;=20000,"A",IF(O5&gt;=5000,"B","C"))</f>
        <v>A</v>
      </c>
      <c r="B5" s="9" t="s">
        <v>321</v>
      </c>
      <c r="C5" s="9" t="s">
        <v>322</v>
      </c>
      <c r="D5" s="10" t="s">
        <v>323</v>
      </c>
      <c r="E5" s="10" t="s">
        <v>78</v>
      </c>
      <c r="F5" s="10" t="s">
        <v>67</v>
      </c>
      <c r="G5" s="10" t="n">
        <v>2</v>
      </c>
      <c r="H5" s="10" t="s">
        <v>131</v>
      </c>
      <c r="I5" s="10" t="s">
        <v>79</v>
      </c>
      <c r="J5" s="10" t="s">
        <v>87</v>
      </c>
      <c r="K5" s="10" t="s">
        <v>324</v>
      </c>
      <c r="L5" s="11" t="n">
        <v>45593</v>
      </c>
      <c r="M5" s="11" t="n">
        <v>45897</v>
      </c>
      <c r="N5" s="12" t="n">
        <f aca="true">TODAY()-M5</f>
        <v>425</v>
      </c>
      <c r="O5" s="13" t="n">
        <v>48710</v>
      </c>
      <c r="P5" s="10" t="n">
        <v>108</v>
      </c>
      <c r="Q5" s="13" t="n">
        <f aca="false">IF(P5&gt;0,O5/P5,0)</f>
        <v>451.018518518519</v>
      </c>
      <c r="R5" s="9" t="s">
        <v>325</v>
      </c>
      <c r="S5" s="9" t="s">
        <v>326</v>
      </c>
      <c r="T5" s="14" t="s">
        <v>74</v>
      </c>
      <c r="U5" s="15"/>
      <c r="V5" s="14"/>
      <c r="W5" s="16"/>
      <c r="X5" s="16"/>
      <c r="Y5" s="17"/>
    </row>
    <row r="6" customFormat="false" ht="23.85" hidden="false" customHeight="false" outlineLevel="0" collapsed="false">
      <c r="A6" s="8" t="str">
        <f aca="false">IF(O6&gt;=20000,"A",IF(O6&gt;=5000,"B","C"))</f>
        <v>A</v>
      </c>
      <c r="B6" s="9" t="s">
        <v>327</v>
      </c>
      <c r="C6" s="9" t="s">
        <v>328</v>
      </c>
      <c r="D6" s="10" t="s">
        <v>329</v>
      </c>
      <c r="E6" s="10" t="s">
        <v>330</v>
      </c>
      <c r="F6" s="10" t="s">
        <v>67</v>
      </c>
      <c r="G6" s="10" t="n">
        <v>1</v>
      </c>
      <c r="H6" s="10" t="s">
        <v>282</v>
      </c>
      <c r="I6" s="10" t="s">
        <v>79</v>
      </c>
      <c r="J6" s="10" t="s">
        <v>70</v>
      </c>
      <c r="K6" s="10" t="s">
        <v>120</v>
      </c>
      <c r="L6" s="11" t="n">
        <v>45854</v>
      </c>
      <c r="M6" s="11" t="n">
        <v>46237</v>
      </c>
      <c r="N6" s="12" t="n">
        <f aca="true">TODAY()-M6</f>
        <v>85</v>
      </c>
      <c r="O6" s="13" t="n">
        <v>29276</v>
      </c>
      <c r="P6" s="10" t="n">
        <v>16</v>
      </c>
      <c r="Q6" s="13" t="n">
        <f aca="false">IF(P6&gt;0,O6/P6,0)</f>
        <v>1829.75</v>
      </c>
      <c r="R6" s="9" t="s">
        <v>331</v>
      </c>
      <c r="S6" s="9" t="s">
        <v>332</v>
      </c>
      <c r="T6" s="14" t="s">
        <v>74</v>
      </c>
      <c r="U6" s="15"/>
      <c r="V6" s="14"/>
      <c r="W6" s="16"/>
      <c r="X6" s="16"/>
      <c r="Y6" s="17"/>
    </row>
    <row r="7" customFormat="false" ht="23.85" hidden="false" customHeight="false" outlineLevel="0" collapsed="false">
      <c r="A7" s="8" t="str">
        <f aca="false">IF(O7&gt;=20000,"A",IF(O7&gt;=5000,"B","C"))</f>
        <v>A</v>
      </c>
      <c r="B7" s="9" t="s">
        <v>333</v>
      </c>
      <c r="C7" s="9" t="s">
        <v>334</v>
      </c>
      <c r="D7" s="10" t="s">
        <v>335</v>
      </c>
      <c r="E7" s="10" t="s">
        <v>336</v>
      </c>
      <c r="F7" s="10" t="s">
        <v>67</v>
      </c>
      <c r="G7" s="10" t="n">
        <v>1</v>
      </c>
      <c r="H7" s="10" t="s">
        <v>337</v>
      </c>
      <c r="I7" s="10" t="s">
        <v>105</v>
      </c>
      <c r="J7" s="10" t="s">
        <v>70</v>
      </c>
      <c r="K7" s="10" t="s">
        <v>71</v>
      </c>
      <c r="L7" s="11" t="n">
        <v>45716</v>
      </c>
      <c r="M7" s="11" t="n">
        <v>46170</v>
      </c>
      <c r="N7" s="12" t="n">
        <f aca="true">TODAY()-M7</f>
        <v>152</v>
      </c>
      <c r="O7" s="13" t="n">
        <v>28723</v>
      </c>
      <c r="P7" s="10" t="n">
        <v>7</v>
      </c>
      <c r="Q7" s="13" t="n">
        <f aca="false">IF(P7&gt;0,O7/P7,0)</f>
        <v>4103.28571428572</v>
      </c>
      <c r="R7" s="9" t="s">
        <v>338</v>
      </c>
      <c r="S7" s="9"/>
      <c r="T7" s="14" t="s">
        <v>74</v>
      </c>
      <c r="U7" s="15"/>
      <c r="V7" s="14"/>
      <c r="W7" s="16"/>
      <c r="X7" s="16"/>
      <c r="Y7" s="17"/>
    </row>
    <row r="8" customFormat="false" ht="23.85" hidden="false" customHeight="false" outlineLevel="0" collapsed="false">
      <c r="A8" s="8" t="str">
        <f aca="false">IF(O8&gt;=20000,"A",IF(O8&gt;=5000,"B","C"))</f>
        <v>A</v>
      </c>
      <c r="B8" s="9" t="s">
        <v>339</v>
      </c>
      <c r="C8" s="9" t="s">
        <v>340</v>
      </c>
      <c r="D8" s="10" t="s">
        <v>341</v>
      </c>
      <c r="E8" s="10" t="s">
        <v>342</v>
      </c>
      <c r="F8" s="10" t="s">
        <v>67</v>
      </c>
      <c r="G8" s="10" t="n">
        <v>1</v>
      </c>
      <c r="H8" s="10" t="s">
        <v>337</v>
      </c>
      <c r="I8" s="10" t="s">
        <v>105</v>
      </c>
      <c r="J8" s="10" t="s">
        <v>70</v>
      </c>
      <c r="K8" s="10" t="s">
        <v>71</v>
      </c>
      <c r="L8" s="11" t="n">
        <v>45602</v>
      </c>
      <c r="M8" s="11" t="n">
        <v>45929</v>
      </c>
      <c r="N8" s="12" t="n">
        <f aca="true">TODAY()-M8</f>
        <v>393</v>
      </c>
      <c r="O8" s="13" t="n">
        <v>28666</v>
      </c>
      <c r="P8" s="10" t="n">
        <v>4</v>
      </c>
      <c r="Q8" s="13" t="n">
        <f aca="false">IF(P8&gt;0,O8/P8,0)</f>
        <v>7166.5</v>
      </c>
      <c r="R8" s="9" t="s">
        <v>343</v>
      </c>
      <c r="S8" s="9" t="s">
        <v>344</v>
      </c>
      <c r="T8" s="14" t="s">
        <v>74</v>
      </c>
      <c r="U8" s="15"/>
      <c r="V8" s="14"/>
      <c r="W8" s="16"/>
      <c r="X8" s="16"/>
      <c r="Y8" s="17"/>
    </row>
    <row r="9" customFormat="false" ht="23.85" hidden="false" customHeight="false" outlineLevel="0" collapsed="false">
      <c r="A9" s="8" t="str">
        <f aca="false">IF(O9&gt;=20000,"A",IF(O9&gt;=5000,"B","C"))</f>
        <v>A</v>
      </c>
      <c r="B9" s="9" t="s">
        <v>345</v>
      </c>
      <c r="C9" s="9" t="s">
        <v>346</v>
      </c>
      <c r="D9" s="10" t="s">
        <v>347</v>
      </c>
      <c r="E9" s="10" t="s">
        <v>348</v>
      </c>
      <c r="F9" s="10" t="s">
        <v>297</v>
      </c>
      <c r="G9" s="10" t="n">
        <v>1</v>
      </c>
      <c r="H9" s="10" t="s">
        <v>349</v>
      </c>
      <c r="I9" s="10" t="s">
        <v>111</v>
      </c>
      <c r="J9" s="10" t="s">
        <v>70</v>
      </c>
      <c r="K9" s="10" t="s">
        <v>71</v>
      </c>
      <c r="L9" s="11" t="n">
        <v>45796</v>
      </c>
      <c r="M9" s="11" t="n">
        <v>46118</v>
      </c>
      <c r="N9" s="12" t="n">
        <f aca="true">TODAY()-M9</f>
        <v>204</v>
      </c>
      <c r="O9" s="13" t="n">
        <v>22553</v>
      </c>
      <c r="P9" s="10" t="n">
        <v>3</v>
      </c>
      <c r="Q9" s="13" t="n">
        <f aca="false">IF(P9&gt;0,O9/P9,0)</f>
        <v>7517.66666666667</v>
      </c>
      <c r="R9" s="9" t="s">
        <v>350</v>
      </c>
      <c r="S9" s="9"/>
      <c r="T9" s="14" t="s">
        <v>74</v>
      </c>
      <c r="U9" s="15"/>
      <c r="V9" s="14"/>
      <c r="W9" s="16"/>
      <c r="X9" s="16"/>
      <c r="Y9" s="17"/>
    </row>
    <row r="10" customFormat="false" ht="15" hidden="false" customHeight="false" outlineLevel="0" collapsed="false">
      <c r="A10" s="8" t="str">
        <f aca="false">IF(O10&gt;=20000,"A",IF(O10&gt;=5000,"B","C"))</f>
        <v>A</v>
      </c>
      <c r="B10" s="9" t="s">
        <v>351</v>
      </c>
      <c r="C10" s="9" t="s">
        <v>352</v>
      </c>
      <c r="D10" s="10" t="s">
        <v>353</v>
      </c>
      <c r="E10" s="10" t="s">
        <v>354</v>
      </c>
      <c r="F10" s="10" t="s">
        <v>67</v>
      </c>
      <c r="G10" s="10" t="n">
        <v>1</v>
      </c>
      <c r="H10" s="10" t="s">
        <v>355</v>
      </c>
      <c r="I10" s="10" t="s">
        <v>105</v>
      </c>
      <c r="J10" s="10" t="s">
        <v>70</v>
      </c>
      <c r="K10" s="10" t="s">
        <v>71</v>
      </c>
      <c r="L10" s="11" t="n">
        <v>45838</v>
      </c>
      <c r="M10" s="11" t="n">
        <v>46123</v>
      </c>
      <c r="N10" s="12" t="n">
        <f aca="true">TODAY()-M10</f>
        <v>199</v>
      </c>
      <c r="O10" s="13" t="n">
        <v>20598</v>
      </c>
      <c r="P10" s="10" t="n">
        <v>3</v>
      </c>
      <c r="Q10" s="13" t="n">
        <f aca="false">IF(P10&gt;0,O10/P10,0)</f>
        <v>6866</v>
      </c>
      <c r="R10" s="9" t="s">
        <v>356</v>
      </c>
      <c r="S10" s="9"/>
      <c r="T10" s="14" t="s">
        <v>74</v>
      </c>
      <c r="U10" s="15"/>
      <c r="V10" s="14"/>
      <c r="W10" s="16"/>
      <c r="X10" s="16"/>
      <c r="Y10" s="17"/>
    </row>
    <row r="11" customFormat="false" ht="23.85" hidden="false" customHeight="false" outlineLevel="0" collapsed="false">
      <c r="A11" s="8" t="str">
        <f aca="false">IF(O11&gt;=20000,"A",IF(O11&gt;=5000,"B","C"))</f>
        <v>A</v>
      </c>
      <c r="B11" s="9" t="s">
        <v>357</v>
      </c>
      <c r="C11" s="9" t="s">
        <v>358</v>
      </c>
      <c r="D11" s="10" t="s">
        <v>359</v>
      </c>
      <c r="E11" s="10" t="s">
        <v>342</v>
      </c>
      <c r="F11" s="10" t="s">
        <v>67</v>
      </c>
      <c r="G11" s="10" t="n">
        <v>1</v>
      </c>
      <c r="H11" s="10" t="s">
        <v>337</v>
      </c>
      <c r="I11" s="10" t="s">
        <v>105</v>
      </c>
      <c r="J11" s="10" t="s">
        <v>70</v>
      </c>
      <c r="K11" s="10" t="s">
        <v>71</v>
      </c>
      <c r="L11" s="11" t="n">
        <v>45623</v>
      </c>
      <c r="M11" s="11" t="n">
        <v>46196</v>
      </c>
      <c r="N11" s="12" t="n">
        <f aca="true">TODAY()-M11</f>
        <v>126</v>
      </c>
      <c r="O11" s="13" t="n">
        <v>20536</v>
      </c>
      <c r="P11" s="10" t="n">
        <v>4</v>
      </c>
      <c r="Q11" s="13" t="n">
        <f aca="false">IF(P11&gt;0,O11/P11,0)</f>
        <v>5134</v>
      </c>
      <c r="R11" s="9" t="s">
        <v>360</v>
      </c>
      <c r="S11" s="9" t="s">
        <v>361</v>
      </c>
      <c r="T11" s="14" t="s">
        <v>74</v>
      </c>
      <c r="U11" s="15"/>
      <c r="V11" s="14"/>
      <c r="W11" s="16"/>
      <c r="X11" s="16"/>
      <c r="Y11" s="17"/>
    </row>
    <row r="12" customFormat="false" ht="23.85" hidden="false" customHeight="false" outlineLevel="0" collapsed="false">
      <c r="A12" s="8" t="str">
        <f aca="false">IF(O12&gt;=20000,"A",IF(O12&gt;=5000,"B","C"))</f>
        <v>A</v>
      </c>
      <c r="B12" s="9" t="s">
        <v>362</v>
      </c>
      <c r="C12" s="9" t="s">
        <v>363</v>
      </c>
      <c r="D12" s="10" t="s">
        <v>364</v>
      </c>
      <c r="E12" s="10" t="s">
        <v>365</v>
      </c>
      <c r="F12" s="10" t="s">
        <v>297</v>
      </c>
      <c r="G12" s="10" t="n">
        <v>1</v>
      </c>
      <c r="H12" s="10" t="s">
        <v>349</v>
      </c>
      <c r="I12" s="10" t="s">
        <v>97</v>
      </c>
      <c r="J12" s="10" t="s">
        <v>70</v>
      </c>
      <c r="K12" s="10" t="s">
        <v>71</v>
      </c>
      <c r="L12" s="11" t="n">
        <v>45622</v>
      </c>
      <c r="M12" s="11" t="n">
        <v>46221</v>
      </c>
      <c r="N12" s="12" t="n">
        <f aca="true">TODAY()-M12</f>
        <v>101</v>
      </c>
      <c r="O12" s="13" t="n">
        <v>20093</v>
      </c>
      <c r="P12" s="10" t="n">
        <v>4</v>
      </c>
      <c r="Q12" s="13" t="n">
        <f aca="false">IF(P12&gt;0,O12/P12,0)</f>
        <v>5023.25</v>
      </c>
      <c r="R12" s="9" t="s">
        <v>366</v>
      </c>
      <c r="S12" s="9"/>
      <c r="T12" s="14" t="s">
        <v>74</v>
      </c>
      <c r="U12" s="15"/>
      <c r="V12" s="14"/>
      <c r="W12" s="16"/>
      <c r="X12" s="16"/>
      <c r="Y12" s="17"/>
    </row>
    <row r="13" customFormat="false" ht="15" hidden="false" customHeight="false" outlineLevel="0" collapsed="false">
      <c r="A13" s="8" t="str">
        <f aca="false">IF(O13&gt;=20000,"A",IF(O13&gt;=5000,"B","C"))</f>
        <v>B</v>
      </c>
      <c r="B13" s="9" t="s">
        <v>367</v>
      </c>
      <c r="C13" s="9" t="s">
        <v>368</v>
      </c>
      <c r="D13" s="10" t="s">
        <v>369</v>
      </c>
      <c r="E13" s="10" t="s">
        <v>370</v>
      </c>
      <c r="F13" s="10" t="s">
        <v>67</v>
      </c>
      <c r="G13" s="10" t="n">
        <v>1</v>
      </c>
      <c r="H13" s="10" t="s">
        <v>355</v>
      </c>
      <c r="I13" s="10" t="s">
        <v>105</v>
      </c>
      <c r="J13" s="10" t="s">
        <v>70</v>
      </c>
      <c r="K13" s="10" t="s">
        <v>120</v>
      </c>
      <c r="L13" s="11" t="n">
        <v>45604</v>
      </c>
      <c r="M13" s="11" t="n">
        <v>46248</v>
      </c>
      <c r="N13" s="12" t="n">
        <f aca="true">TODAY()-M13</f>
        <v>74</v>
      </c>
      <c r="O13" s="13" t="n">
        <v>19587</v>
      </c>
      <c r="P13" s="10" t="n">
        <v>4</v>
      </c>
      <c r="Q13" s="13" t="n">
        <f aca="false">IF(P13&gt;0,O13/P13,0)</f>
        <v>4896.75</v>
      </c>
      <c r="R13" s="9" t="s">
        <v>371</v>
      </c>
      <c r="S13" s="9"/>
      <c r="T13" s="14" t="s">
        <v>74</v>
      </c>
      <c r="U13" s="15"/>
      <c r="V13" s="14"/>
      <c r="W13" s="16"/>
      <c r="X13" s="16"/>
      <c r="Y13" s="17"/>
    </row>
    <row r="14" customFormat="false" ht="15" hidden="false" customHeight="false" outlineLevel="0" collapsed="false">
      <c r="A14" s="8" t="str">
        <f aca="false">IF(O14&gt;=20000,"A",IF(O14&gt;=5000,"B","C"))</f>
        <v>B</v>
      </c>
      <c r="B14" s="9" t="s">
        <v>372</v>
      </c>
      <c r="C14" s="9" t="s">
        <v>373</v>
      </c>
      <c r="D14" s="10" t="s">
        <v>374</v>
      </c>
      <c r="E14" s="10" t="s">
        <v>94</v>
      </c>
      <c r="F14" s="10" t="s">
        <v>95</v>
      </c>
      <c r="G14" s="10" t="n">
        <v>1</v>
      </c>
      <c r="H14" s="10" t="s">
        <v>138</v>
      </c>
      <c r="I14" s="10" t="s">
        <v>97</v>
      </c>
      <c r="J14" s="10" t="s">
        <v>70</v>
      </c>
      <c r="K14" s="10" t="s">
        <v>71</v>
      </c>
      <c r="L14" s="11" t="n">
        <v>46248</v>
      </c>
      <c r="M14" s="11" t="n">
        <v>46248</v>
      </c>
      <c r="N14" s="12" t="n">
        <f aca="true">TODAY()-M14</f>
        <v>74</v>
      </c>
      <c r="O14" s="13" t="n">
        <v>6888</v>
      </c>
      <c r="P14" s="10" t="n">
        <v>1</v>
      </c>
      <c r="Q14" s="13" t="n">
        <f aca="false">IF(P14&gt;0,O14/P14,0)</f>
        <v>6888</v>
      </c>
      <c r="R14" s="9" t="s">
        <v>375</v>
      </c>
      <c r="S14" s="9"/>
      <c r="T14" s="14" t="s">
        <v>74</v>
      </c>
      <c r="U14" s="15"/>
      <c r="V14" s="14"/>
      <c r="W14" s="16"/>
      <c r="X14" s="16"/>
      <c r="Y14" s="17"/>
    </row>
    <row r="15" customFormat="false" ht="15" hidden="false" customHeight="false" outlineLevel="0" collapsed="false">
      <c r="A15" s="8" t="str">
        <f aca="false">IF(O15&gt;=20000,"A",IF(O15&gt;=5000,"B","C"))</f>
        <v>B</v>
      </c>
      <c r="B15" s="9" t="s">
        <v>376</v>
      </c>
      <c r="C15" s="9" t="s">
        <v>377</v>
      </c>
      <c r="D15" s="10" t="s">
        <v>378</v>
      </c>
      <c r="E15" s="10" t="s">
        <v>379</v>
      </c>
      <c r="F15" s="10" t="s">
        <v>118</v>
      </c>
      <c r="G15" s="10" t="n">
        <v>2</v>
      </c>
      <c r="H15" s="10" t="s">
        <v>119</v>
      </c>
      <c r="I15" s="10" t="s">
        <v>97</v>
      </c>
      <c r="J15" s="10" t="s">
        <v>70</v>
      </c>
      <c r="K15" s="10" t="s">
        <v>88</v>
      </c>
      <c r="L15" s="11" t="n">
        <v>45754</v>
      </c>
      <c r="M15" s="11" t="n">
        <v>46155</v>
      </c>
      <c r="N15" s="12" t="n">
        <f aca="true">TODAY()-M15</f>
        <v>167</v>
      </c>
      <c r="O15" s="13" t="n">
        <v>6037</v>
      </c>
      <c r="P15" s="10" t="n">
        <v>2</v>
      </c>
      <c r="Q15" s="13" t="n">
        <f aca="false">IF(P15&gt;0,O15/P15,0)</f>
        <v>3018.5</v>
      </c>
      <c r="R15" s="9" t="s">
        <v>380</v>
      </c>
      <c r="S15" s="9"/>
      <c r="T15" s="14" t="s">
        <v>74</v>
      </c>
      <c r="U15" s="15"/>
      <c r="V15" s="14"/>
      <c r="W15" s="16"/>
      <c r="X15" s="16"/>
      <c r="Y15" s="17"/>
    </row>
  </sheetData>
  <autoFilter ref="A1:Y15"/>
  <conditionalFormatting sqref="A2:A15">
    <cfRule type="cellIs" priority="2" operator="equal" aboveAverage="0" equalAverage="0" bottom="0" percent="0" rank="0" text="" dxfId="7">
      <formula>"A"</formula>
    </cfRule>
    <cfRule type="cellIs" priority="3" operator="equal" aboveAverage="0" equalAverage="0" bottom="0" percent="0" rank="0" text="" dxfId="8">
      <formula>"B"</formula>
    </cfRule>
    <cfRule type="cellIs" priority="4" operator="equal" aboveAverage="0" equalAverage="0" bottom="0" percent="0" rank="0" text="" dxfId="9">
      <formula>"C"</formula>
    </cfRule>
  </conditionalFormatting>
  <dataValidations count="1">
    <dataValidation allowBlank="true" errorStyle="stop" operator="between" showDropDown="false" showErrorMessage="false" showInputMessage="false" sqref="T2:T15" type="list">
      <formula1>"A contatar,Sem contato,Em conversa,Pedido fechado,Sem interesse,Fechou a empresa,Não ligar"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1" min="11" style="0" width="70"/>
  </cols>
  <sheetData>
    <row r="1" customFormat="false" ht="31.5" hidden="false" customHeight="true" outlineLevel="0" collapsed="false">
      <c r="A1" s="7" t="s">
        <v>381</v>
      </c>
      <c r="B1" s="7" t="s">
        <v>382</v>
      </c>
      <c r="C1" s="7" t="s">
        <v>383</v>
      </c>
      <c r="D1" s="7" t="s">
        <v>44</v>
      </c>
      <c r="E1" s="7" t="s">
        <v>384</v>
      </c>
      <c r="F1" s="7" t="s">
        <v>47</v>
      </c>
      <c r="G1" s="7" t="s">
        <v>385</v>
      </c>
      <c r="H1" s="7" t="s">
        <v>51</v>
      </c>
      <c r="I1" s="7" t="s">
        <v>52</v>
      </c>
      <c r="J1" s="7" t="s">
        <v>53</v>
      </c>
      <c r="K1" s="7" t="s">
        <v>386</v>
      </c>
    </row>
    <row r="2" customFormat="false" ht="23.85" hidden="false" customHeight="false" outlineLevel="0" collapsed="false">
      <c r="A2" s="9" t="s">
        <v>387</v>
      </c>
      <c r="B2" s="10" t="s">
        <v>388</v>
      </c>
      <c r="C2" s="10" t="n">
        <v>78</v>
      </c>
      <c r="D2" s="10" t="s">
        <v>389</v>
      </c>
      <c r="E2" s="10" t="s">
        <v>390</v>
      </c>
      <c r="F2" s="10" t="s">
        <v>391</v>
      </c>
      <c r="G2" s="11" t="n">
        <v>46262</v>
      </c>
      <c r="H2" s="12" t="n">
        <f aca="true">TODAY()-G2</f>
        <v>60</v>
      </c>
      <c r="I2" s="13" t="n">
        <v>3091888</v>
      </c>
      <c r="J2" s="10" t="n">
        <v>496</v>
      </c>
      <c r="K2" s="9" t="s">
        <v>392</v>
      </c>
    </row>
    <row r="3" customFormat="false" ht="23.85" hidden="false" customHeight="false" outlineLevel="0" collapsed="false">
      <c r="A3" s="9" t="s">
        <v>393</v>
      </c>
      <c r="B3" s="10" t="s">
        <v>394</v>
      </c>
      <c r="C3" s="10" t="n">
        <v>30</v>
      </c>
      <c r="D3" s="10" t="s">
        <v>395</v>
      </c>
      <c r="E3" s="10" t="s">
        <v>104</v>
      </c>
      <c r="F3" s="10" t="s">
        <v>391</v>
      </c>
      <c r="G3" s="11" t="n">
        <v>46203</v>
      </c>
      <c r="H3" s="12" t="n">
        <f aca="true">TODAY()-G3</f>
        <v>119</v>
      </c>
      <c r="I3" s="13" t="n">
        <v>1873559</v>
      </c>
      <c r="J3" s="10" t="n">
        <v>128</v>
      </c>
      <c r="K3" s="9" t="s">
        <v>396</v>
      </c>
    </row>
    <row r="4" customFormat="false" ht="15" hidden="false" customHeight="false" outlineLevel="0" collapsed="false">
      <c r="A4" s="9" t="s">
        <v>397</v>
      </c>
      <c r="B4" s="10" t="s">
        <v>398</v>
      </c>
      <c r="C4" s="10" t="n">
        <v>68</v>
      </c>
      <c r="D4" s="10" t="s">
        <v>67</v>
      </c>
      <c r="E4" s="10" t="s">
        <v>399</v>
      </c>
      <c r="F4" s="10" t="s">
        <v>391</v>
      </c>
      <c r="G4" s="11" t="n">
        <v>45817</v>
      </c>
      <c r="H4" s="12" t="n">
        <f aca="true">TODAY()-G4</f>
        <v>505</v>
      </c>
      <c r="I4" s="13" t="n">
        <v>296204</v>
      </c>
      <c r="J4" s="10" t="n">
        <v>68</v>
      </c>
      <c r="K4" s="9" t="s">
        <v>400</v>
      </c>
    </row>
    <row r="5" customFormat="false" ht="15" hidden="false" customHeight="false" outlineLevel="0" collapsed="false">
      <c r="A5" s="9" t="s">
        <v>401</v>
      </c>
      <c r="B5" s="10" t="s">
        <v>402</v>
      </c>
      <c r="C5" s="10" t="n">
        <v>4</v>
      </c>
      <c r="D5" s="10" t="s">
        <v>67</v>
      </c>
      <c r="E5" s="10" t="s">
        <v>318</v>
      </c>
      <c r="F5" s="10" t="s">
        <v>69</v>
      </c>
      <c r="G5" s="11" t="n">
        <v>46162</v>
      </c>
      <c r="H5" s="12" t="n">
        <f aca="true">TODAY()-G5</f>
        <v>160</v>
      </c>
      <c r="I5" s="13" t="n">
        <v>228650</v>
      </c>
      <c r="J5" s="10" t="n">
        <v>17</v>
      </c>
      <c r="K5" s="9" t="s">
        <v>403</v>
      </c>
    </row>
    <row r="6" customFormat="false" ht="15" hidden="false" customHeight="false" outlineLevel="0" collapsed="false">
      <c r="A6" s="9" t="s">
        <v>404</v>
      </c>
      <c r="B6" s="10" t="s">
        <v>388</v>
      </c>
      <c r="C6" s="10" t="n">
        <v>1</v>
      </c>
      <c r="D6" s="10" t="s">
        <v>118</v>
      </c>
      <c r="E6" s="10" t="s">
        <v>390</v>
      </c>
      <c r="F6" s="10" t="s">
        <v>97</v>
      </c>
      <c r="G6" s="11" t="n">
        <v>46258</v>
      </c>
      <c r="H6" s="12" t="n">
        <f aca="true">TODAY()-G6</f>
        <v>64</v>
      </c>
      <c r="I6" s="13" t="n">
        <v>55165</v>
      </c>
      <c r="J6" s="10" t="n">
        <v>5</v>
      </c>
      <c r="K6" s="9" t="s">
        <v>405</v>
      </c>
    </row>
    <row r="7" customFormat="false" ht="23.85" hidden="false" customHeight="false" outlineLevel="0" collapsed="false">
      <c r="A7" s="9" t="s">
        <v>406</v>
      </c>
      <c r="B7" s="10" t="s">
        <v>407</v>
      </c>
      <c r="C7" s="10" t="n">
        <v>2</v>
      </c>
      <c r="D7" s="10" t="s">
        <v>297</v>
      </c>
      <c r="E7" s="10" t="s">
        <v>408</v>
      </c>
      <c r="F7" s="10" t="s">
        <v>97</v>
      </c>
      <c r="G7" s="11" t="n">
        <v>45713</v>
      </c>
      <c r="H7" s="12" t="n">
        <f aca="true">TODAY()-G7</f>
        <v>609</v>
      </c>
      <c r="I7" s="13" t="n">
        <v>46542</v>
      </c>
      <c r="J7" s="10" t="n">
        <v>2</v>
      </c>
      <c r="K7" s="9" t="s">
        <v>409</v>
      </c>
    </row>
    <row r="8" customFormat="false" ht="15" hidden="false" customHeight="false" outlineLevel="0" collapsed="false">
      <c r="A8" s="9" t="s">
        <v>410</v>
      </c>
      <c r="B8" s="10" t="s">
        <v>411</v>
      </c>
      <c r="C8" s="10" t="n">
        <v>1</v>
      </c>
      <c r="D8" s="10" t="s">
        <v>297</v>
      </c>
      <c r="E8" s="10" t="s">
        <v>96</v>
      </c>
      <c r="F8" s="10" t="s">
        <v>69</v>
      </c>
      <c r="G8" s="11" t="n">
        <v>46245</v>
      </c>
      <c r="H8" s="12" t="n">
        <f aca="true">TODAY()-G8</f>
        <v>77</v>
      </c>
      <c r="I8" s="13" t="n">
        <v>40168</v>
      </c>
      <c r="J8" s="10" t="n">
        <v>2</v>
      </c>
      <c r="K8" s="9" t="s">
        <v>412</v>
      </c>
    </row>
    <row r="9" customFormat="false" ht="15" hidden="false" customHeight="false" outlineLevel="0" collapsed="false">
      <c r="A9" s="9" t="s">
        <v>413</v>
      </c>
      <c r="B9" s="10" t="s">
        <v>388</v>
      </c>
      <c r="C9" s="10" t="n">
        <v>1</v>
      </c>
      <c r="D9" s="10" t="s">
        <v>67</v>
      </c>
      <c r="E9" s="10" t="s">
        <v>390</v>
      </c>
      <c r="F9" s="10" t="s">
        <v>105</v>
      </c>
      <c r="G9" s="11" t="n">
        <v>46258</v>
      </c>
      <c r="H9" s="12" t="n">
        <f aca="true">TODAY()-G9</f>
        <v>64</v>
      </c>
      <c r="I9" s="13" t="n">
        <v>27930</v>
      </c>
      <c r="J9" s="10" t="n">
        <v>3</v>
      </c>
      <c r="K9" s="9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7" t="s">
        <v>414</v>
      </c>
      <c r="B1" s="7" t="s">
        <v>415</v>
      </c>
      <c r="C1" s="7" t="s">
        <v>416</v>
      </c>
      <c r="D1" s="7" t="s">
        <v>52</v>
      </c>
    </row>
    <row r="2" customFormat="false" ht="15" hidden="false" customHeight="false" outlineLevel="0" collapsed="false">
      <c r="A2" s="9" t="s">
        <v>417</v>
      </c>
      <c r="B2" s="9" t="s">
        <v>418</v>
      </c>
      <c r="C2" s="9" t="s">
        <v>419</v>
      </c>
      <c r="D2" s="18" t="n">
        <v>45810</v>
      </c>
    </row>
    <row r="3" customFormat="false" ht="23.85" hidden="false" customHeight="false" outlineLevel="0" collapsed="false">
      <c r="A3" s="9" t="s">
        <v>420</v>
      </c>
      <c r="B3" s="9" t="s">
        <v>421</v>
      </c>
      <c r="C3" s="9" t="s">
        <v>422</v>
      </c>
      <c r="D3" s="18" t="n">
        <v>8802</v>
      </c>
    </row>
    <row r="4" customFormat="false" ht="15" hidden="false" customHeight="false" outlineLevel="0" collapsed="false">
      <c r="A4" s="9" t="s">
        <v>423</v>
      </c>
      <c r="B4" s="9" t="s">
        <v>424</v>
      </c>
      <c r="C4" s="9" t="s">
        <v>425</v>
      </c>
      <c r="D4" s="18" t="n">
        <v>2592</v>
      </c>
    </row>
    <row r="5" customFormat="false" ht="15" hidden="false" customHeight="false" outlineLevel="0" collapsed="false">
      <c r="A5" s="9" t="s">
        <v>426</v>
      </c>
      <c r="B5" s="9" t="s">
        <v>427</v>
      </c>
      <c r="C5" s="9" t="s">
        <v>428</v>
      </c>
      <c r="D5" s="18" t="n">
        <v>119120</v>
      </c>
    </row>
    <row r="6" customFormat="false" ht="15" hidden="false" customHeight="false" outlineLevel="0" collapsed="false">
      <c r="A6" s="9" t="s">
        <v>429</v>
      </c>
      <c r="B6" s="9" t="s">
        <v>430</v>
      </c>
      <c r="C6" s="9" t="s">
        <v>431</v>
      </c>
      <c r="D6" s="18" t="n">
        <v>1330662</v>
      </c>
    </row>
    <row r="7" customFormat="false" ht="23.85" hidden="false" customHeight="false" outlineLevel="0" collapsed="false">
      <c r="A7" s="9" t="s">
        <v>432</v>
      </c>
      <c r="B7" s="9" t="s">
        <v>433</v>
      </c>
      <c r="C7" s="9" t="s">
        <v>434</v>
      </c>
      <c r="D7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2026-10-27T14:19:24Z</dcterms:created>
  <dc:creator>openpyxl</dc:creator>
  <dc:description/>
  <dc:language>en-US</dc:language>
  <cp:lastModifiedBy/>
  <dcterms:modified xsi:type="dcterms:W3CDTF">2026-10-27T14:19:24Z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